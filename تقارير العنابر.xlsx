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user\Desktop\ملف تحميلات الوتساب\"/>
    </mc:Choice>
  </mc:AlternateContent>
  <xr:revisionPtr revIDLastSave="0" documentId="13_ncr:1_{345555A1-E641-4396-B419-A1B0B01E8688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ورقة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96" i="1" l="1"/>
  <c r="AK96" i="1"/>
  <c r="AJ96" i="1"/>
  <c r="AI96" i="1"/>
  <c r="AH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BB95" i="1"/>
  <c r="BA95" i="1"/>
  <c r="AZ95" i="1"/>
  <c r="AY95" i="1"/>
  <c r="AX95" i="1"/>
  <c r="AW95" i="1"/>
  <c r="AV95" i="1"/>
  <c r="AS95" i="1"/>
  <c r="AO95" i="1"/>
  <c r="AE95" i="1"/>
  <c r="BB94" i="1"/>
  <c r="BA94" i="1"/>
  <c r="AZ94" i="1"/>
  <c r="AY94" i="1"/>
  <c r="AX94" i="1"/>
  <c r="AW94" i="1"/>
  <c r="AS94" i="1"/>
  <c r="AO94" i="1"/>
  <c r="AE94" i="1"/>
  <c r="BB93" i="1"/>
  <c r="AO93" i="1"/>
  <c r="AE93" i="1"/>
  <c r="BB92" i="1"/>
  <c r="AO92" i="1"/>
  <c r="AE92" i="1"/>
  <c r="BB91" i="1"/>
  <c r="AO91" i="1"/>
  <c r="AE91" i="1"/>
  <c r="BB90" i="1"/>
  <c r="AO90" i="1"/>
  <c r="AE90" i="1"/>
  <c r="BB89" i="1"/>
  <c r="AO89" i="1"/>
  <c r="AE89" i="1"/>
  <c r="BB88" i="1"/>
  <c r="AO88" i="1"/>
  <c r="AE88" i="1"/>
  <c r="BB87" i="1"/>
  <c r="BA87" i="1"/>
  <c r="AZ87" i="1"/>
  <c r="AY87" i="1"/>
  <c r="AX87" i="1"/>
  <c r="AW87" i="1"/>
  <c r="AO87" i="1"/>
  <c r="AE87" i="1"/>
  <c r="BB86" i="1"/>
  <c r="AO86" i="1"/>
  <c r="AE86" i="1"/>
  <c r="BB85" i="1"/>
  <c r="BA85" i="1"/>
  <c r="AZ85" i="1"/>
  <c r="AY85" i="1"/>
  <c r="AX85" i="1"/>
  <c r="AW85" i="1"/>
  <c r="AV85" i="1"/>
  <c r="AO85" i="1"/>
  <c r="AE85" i="1"/>
  <c r="BB84" i="1"/>
  <c r="AO84" i="1"/>
  <c r="AE84" i="1"/>
  <c r="BB83" i="1"/>
  <c r="AO83" i="1"/>
  <c r="AE83" i="1"/>
  <c r="BB82" i="1"/>
  <c r="AO82" i="1"/>
  <c r="AE82" i="1"/>
  <c r="BB81" i="1"/>
  <c r="AO81" i="1"/>
  <c r="AE81" i="1"/>
  <c r="BB80" i="1"/>
  <c r="AO80" i="1"/>
  <c r="AD80" i="1"/>
  <c r="BB79" i="1"/>
  <c r="BA79" i="1"/>
  <c r="AZ79" i="1"/>
  <c r="AY79" i="1"/>
  <c r="AX79" i="1"/>
  <c r="AW79" i="1"/>
  <c r="AV79" i="1"/>
  <c r="AS79" i="1"/>
  <c r="AO79" i="1"/>
  <c r="AM79" i="1"/>
  <c r="AE79" i="1"/>
  <c r="AD79" i="1"/>
  <c r="BB78" i="1"/>
  <c r="AO78" i="1"/>
  <c r="AE78" i="1"/>
  <c r="BB77" i="1"/>
  <c r="AO77" i="1"/>
  <c r="AE77" i="1"/>
  <c r="BB76" i="1"/>
  <c r="BA76" i="1"/>
  <c r="AZ76" i="1"/>
  <c r="AY76" i="1"/>
  <c r="AX76" i="1"/>
  <c r="AW76" i="1"/>
  <c r="AO76" i="1"/>
  <c r="AE76" i="1"/>
  <c r="BB75" i="1"/>
  <c r="BA75" i="1"/>
  <c r="AZ75" i="1"/>
  <c r="AY75" i="1"/>
  <c r="AX75" i="1"/>
  <c r="AW75" i="1"/>
  <c r="AV75" i="1"/>
  <c r="AO75" i="1"/>
  <c r="AE75" i="1"/>
  <c r="BB74" i="1"/>
  <c r="BA74" i="1"/>
  <c r="AZ74" i="1"/>
  <c r="AY74" i="1"/>
  <c r="AX74" i="1"/>
  <c r="AW74" i="1"/>
  <c r="AO74" i="1"/>
  <c r="AE74" i="1"/>
  <c r="BB73" i="1"/>
  <c r="AO73" i="1"/>
  <c r="AE73" i="1"/>
  <c r="AD73" i="1"/>
  <c r="BB72" i="1"/>
  <c r="BA72" i="1"/>
  <c r="AZ72" i="1"/>
  <c r="AY72" i="1"/>
  <c r="AX72" i="1"/>
  <c r="AW72" i="1"/>
  <c r="AV72" i="1"/>
  <c r="AO72" i="1"/>
  <c r="AD72" i="1"/>
  <c r="BB71" i="1"/>
  <c r="AO71" i="1"/>
  <c r="AE71" i="1"/>
  <c r="BB70" i="1"/>
  <c r="BA70" i="1"/>
  <c r="AY70" i="1"/>
  <c r="AX70" i="1"/>
  <c r="AW70" i="1"/>
  <c r="AV70" i="1"/>
  <c r="AG70" i="1"/>
  <c r="AD70" i="1"/>
  <c r="BB69" i="1"/>
  <c r="AO69" i="1"/>
  <c r="AE69" i="1"/>
  <c r="BB68" i="1"/>
  <c r="AO68" i="1"/>
  <c r="AE68" i="1"/>
  <c r="BB67" i="1"/>
  <c r="AO67" i="1"/>
  <c r="AE67" i="1"/>
  <c r="BB66" i="1"/>
  <c r="AO66" i="1"/>
  <c r="AE66" i="1"/>
  <c r="BB65" i="1"/>
  <c r="AO65" i="1"/>
  <c r="AE65" i="1"/>
  <c r="BB64" i="1"/>
  <c r="BA64" i="1"/>
  <c r="AZ64" i="1"/>
  <c r="AY64" i="1"/>
  <c r="AX64" i="1"/>
  <c r="AW64" i="1"/>
  <c r="AV64" i="1"/>
  <c r="AO64" i="1"/>
  <c r="AE64" i="1"/>
  <c r="BB63" i="1"/>
  <c r="AO63" i="1"/>
  <c r="AE63" i="1"/>
  <c r="BB62" i="1"/>
  <c r="AO62" i="1"/>
  <c r="AD62" i="1"/>
  <c r="BB61" i="1"/>
  <c r="AO61" i="1"/>
  <c r="AE61" i="1"/>
  <c r="BB60" i="1"/>
  <c r="AO60" i="1"/>
  <c r="AE60" i="1"/>
  <c r="BB59" i="1"/>
  <c r="BA59" i="1"/>
  <c r="AZ59" i="1"/>
  <c r="AY59" i="1"/>
  <c r="AX59" i="1"/>
  <c r="AW59" i="1"/>
  <c r="AO59" i="1"/>
  <c r="AE59" i="1"/>
  <c r="BB58" i="1"/>
  <c r="AO58" i="1"/>
  <c r="AE58" i="1"/>
  <c r="BB57" i="1"/>
  <c r="AO57" i="1"/>
  <c r="AE57" i="1"/>
  <c r="BB56" i="1"/>
  <c r="BA56" i="1"/>
  <c r="AZ56" i="1"/>
  <c r="AY56" i="1"/>
  <c r="AX56" i="1"/>
  <c r="AW56" i="1"/>
  <c r="AO56" i="1"/>
  <c r="AE56" i="1"/>
  <c r="BB55" i="1"/>
  <c r="BA55" i="1"/>
  <c r="AZ55" i="1"/>
  <c r="AY55" i="1"/>
  <c r="AX55" i="1"/>
  <c r="AW55" i="1"/>
  <c r="AV55" i="1"/>
  <c r="AN55" i="1"/>
  <c r="AE55" i="1"/>
  <c r="BB54" i="1"/>
  <c r="BA54" i="1"/>
  <c r="AZ54" i="1"/>
  <c r="AY54" i="1"/>
  <c r="AX54" i="1"/>
  <c r="AW54" i="1"/>
  <c r="AV54" i="1"/>
  <c r="AO54" i="1"/>
  <c r="AE54" i="1"/>
  <c r="BB53" i="1"/>
  <c r="BA53" i="1"/>
  <c r="AZ53" i="1"/>
  <c r="AY53" i="1"/>
  <c r="AX53" i="1"/>
  <c r="AW53" i="1"/>
  <c r="AO53" i="1"/>
  <c r="AE53" i="1"/>
  <c r="BB52" i="1"/>
  <c r="AO52" i="1"/>
  <c r="AE52" i="1"/>
  <c r="BB51" i="1"/>
  <c r="AO51" i="1"/>
  <c r="AE51" i="1"/>
  <c r="BB50" i="1"/>
  <c r="BA50" i="1"/>
  <c r="AZ50" i="1"/>
  <c r="AY50" i="1"/>
  <c r="AX50" i="1"/>
  <c r="AW50" i="1"/>
  <c r="AO50" i="1"/>
  <c r="AE50" i="1"/>
  <c r="BB49" i="1"/>
  <c r="BA49" i="1"/>
  <c r="AZ49" i="1"/>
  <c r="AY49" i="1"/>
  <c r="AX49" i="1"/>
  <c r="AW49" i="1"/>
  <c r="AV49" i="1"/>
  <c r="AO49" i="1"/>
  <c r="AE49" i="1"/>
  <c r="BB48" i="1"/>
  <c r="BA48" i="1"/>
  <c r="AZ48" i="1"/>
  <c r="AY48" i="1"/>
  <c r="AX48" i="1"/>
  <c r="AW48" i="1"/>
  <c r="AV48" i="1"/>
  <c r="AS48" i="1"/>
  <c r="AO48" i="1"/>
  <c r="AM48" i="1"/>
  <c r="AE48" i="1"/>
  <c r="BB47" i="1"/>
  <c r="AO47" i="1"/>
  <c r="AE47" i="1"/>
  <c r="BB46" i="1"/>
  <c r="AO46" i="1"/>
  <c r="AE46" i="1"/>
  <c r="BB45" i="1"/>
  <c r="AO45" i="1"/>
  <c r="AE45" i="1"/>
  <c r="BB44" i="1"/>
  <c r="AO44" i="1"/>
  <c r="AE44" i="1"/>
  <c r="BB43" i="1"/>
  <c r="AO43" i="1"/>
  <c r="AE43" i="1"/>
  <c r="BB42" i="1"/>
  <c r="BA42" i="1"/>
  <c r="AZ42" i="1"/>
  <c r="AY42" i="1"/>
  <c r="AX42" i="1"/>
  <c r="AT42" i="1"/>
  <c r="AS42" i="1"/>
  <c r="AL42" i="1"/>
  <c r="AG42" i="1"/>
  <c r="AF42" i="1"/>
  <c r="AE42" i="1"/>
  <c r="BB41" i="1"/>
  <c r="AO41" i="1"/>
  <c r="AE41" i="1"/>
  <c r="BB40" i="1"/>
  <c r="AO40" i="1"/>
  <c r="AE40" i="1"/>
  <c r="BB39" i="1"/>
  <c r="BA39" i="1"/>
  <c r="AZ39" i="1"/>
  <c r="AY39" i="1"/>
  <c r="AX39" i="1"/>
  <c r="AW39" i="1"/>
  <c r="AV39" i="1"/>
  <c r="AO39" i="1"/>
  <c r="AE39" i="1"/>
  <c r="BB38" i="1"/>
  <c r="BA38" i="1"/>
  <c r="AZ38" i="1"/>
  <c r="AY38" i="1"/>
  <c r="AX38" i="1"/>
  <c r="AW38" i="1"/>
  <c r="AO38" i="1"/>
  <c r="AE38" i="1"/>
  <c r="AD38" i="1"/>
  <c r="BB37" i="1"/>
  <c r="AO37" i="1"/>
  <c r="AE37" i="1"/>
  <c r="BB36" i="1"/>
  <c r="AO36" i="1"/>
  <c r="AE36" i="1"/>
  <c r="BB35" i="1"/>
  <c r="BA35" i="1"/>
  <c r="AZ35" i="1"/>
  <c r="AY35" i="1"/>
  <c r="AX35" i="1"/>
  <c r="AW35" i="1"/>
  <c r="AO35" i="1"/>
  <c r="AE35" i="1"/>
  <c r="BB34" i="1"/>
  <c r="AO34" i="1"/>
  <c r="AE34" i="1"/>
  <c r="BB33" i="1"/>
  <c r="BA33" i="1"/>
  <c r="AZ33" i="1"/>
  <c r="AY33" i="1"/>
  <c r="AX33" i="1"/>
  <c r="AW33" i="1"/>
  <c r="AV33" i="1"/>
  <c r="AN33" i="1"/>
  <c r="AE33" i="1"/>
  <c r="BB32" i="1"/>
  <c r="AO32" i="1"/>
  <c r="AE32" i="1"/>
  <c r="BB31" i="1"/>
  <c r="BA31" i="1"/>
  <c r="AZ31" i="1"/>
  <c r="AY31" i="1"/>
  <c r="AX31" i="1"/>
  <c r="AW31" i="1"/>
  <c r="AO31" i="1"/>
  <c r="AE31" i="1"/>
  <c r="BB30" i="1"/>
  <c r="AO30" i="1"/>
  <c r="AE30" i="1"/>
  <c r="BB29" i="1"/>
  <c r="BA29" i="1"/>
  <c r="AZ29" i="1"/>
  <c r="AY29" i="1"/>
  <c r="AX29" i="1"/>
  <c r="AW29" i="1"/>
  <c r="AV29" i="1"/>
  <c r="AO29" i="1"/>
  <c r="AE29" i="1"/>
  <c r="BB28" i="1"/>
  <c r="AP28" i="1"/>
  <c r="AO28" i="1"/>
  <c r="AE28" i="1"/>
  <c r="BB27" i="1"/>
  <c r="BA27" i="1"/>
  <c r="AZ27" i="1"/>
  <c r="AY27" i="1"/>
  <c r="AX27" i="1"/>
  <c r="AW27" i="1"/>
  <c r="AS27" i="1"/>
  <c r="AO27" i="1"/>
  <c r="AD27" i="1"/>
  <c r="BB26" i="1"/>
  <c r="AO26" i="1"/>
  <c r="AE26" i="1"/>
  <c r="BB25" i="1"/>
  <c r="BA25" i="1"/>
  <c r="AZ25" i="1"/>
  <c r="AY25" i="1"/>
  <c r="AX25" i="1"/>
  <c r="AW25" i="1"/>
  <c r="AO25" i="1"/>
  <c r="AE25" i="1"/>
  <c r="BB24" i="1"/>
  <c r="BA24" i="1"/>
  <c r="AZ24" i="1"/>
  <c r="AY24" i="1"/>
  <c r="AX24" i="1"/>
  <c r="AW24" i="1"/>
  <c r="AS24" i="1"/>
  <c r="AO24" i="1"/>
  <c r="AE24" i="1"/>
  <c r="BB23" i="1"/>
  <c r="BA23" i="1"/>
  <c r="AZ23" i="1"/>
  <c r="AY23" i="1"/>
  <c r="AX23" i="1"/>
  <c r="AW23" i="1"/>
  <c r="AS23" i="1"/>
  <c r="AM23" i="1"/>
  <c r="AL23" i="1"/>
  <c r="AE23" i="1"/>
  <c r="BB22" i="1"/>
  <c r="BA22" i="1"/>
  <c r="AZ22" i="1"/>
  <c r="AY22" i="1"/>
  <c r="AX22" i="1"/>
  <c r="AW22" i="1"/>
  <c r="AS22" i="1"/>
  <c r="AO22" i="1"/>
  <c r="AL22" i="1"/>
  <c r="AE22" i="1"/>
  <c r="AD22" i="1"/>
  <c r="BB21" i="1"/>
  <c r="BA21" i="1"/>
  <c r="AZ21" i="1"/>
  <c r="AY21" i="1"/>
  <c r="AX21" i="1"/>
  <c r="AW21" i="1"/>
  <c r="AS21" i="1"/>
  <c r="AO21" i="1"/>
  <c r="AL21" i="1"/>
  <c r="AD21" i="1"/>
  <c r="P21" i="1"/>
  <c r="BB20" i="1"/>
  <c r="BA20" i="1"/>
  <c r="AY20" i="1"/>
  <c r="AX20" i="1"/>
  <c r="AT20" i="1"/>
  <c r="AN20" i="1"/>
  <c r="AG20" i="1"/>
  <c r="AF20" i="1"/>
  <c r="AE20" i="1"/>
  <c r="AC20" i="1"/>
  <c r="P20" i="1"/>
  <c r="BB19" i="1"/>
  <c r="BA19" i="1"/>
  <c r="AZ19" i="1"/>
  <c r="AY19" i="1"/>
  <c r="AX19" i="1"/>
  <c r="AW19" i="1"/>
  <c r="AG19" i="1"/>
  <c r="AF19" i="1"/>
  <c r="AE19" i="1"/>
  <c r="BB18" i="1"/>
  <c r="BA18" i="1"/>
  <c r="AY18" i="1"/>
  <c r="AX18" i="1"/>
  <c r="AW18" i="1"/>
  <c r="AO18" i="1"/>
  <c r="AG18" i="1"/>
  <c r="AF18" i="1"/>
  <c r="AE18" i="1"/>
  <c r="BB17" i="1"/>
  <c r="BA17" i="1"/>
  <c r="AZ17" i="1"/>
  <c r="AY17" i="1"/>
  <c r="AX17" i="1"/>
  <c r="AW17" i="1"/>
  <c r="AV17" i="1"/>
  <c r="AS17" i="1"/>
  <c r="AO17" i="1"/>
  <c r="AE17" i="1"/>
  <c r="BB16" i="1"/>
  <c r="BA16" i="1"/>
  <c r="AY16" i="1"/>
  <c r="AX16" i="1"/>
  <c r="AW16" i="1"/>
  <c r="AM16" i="1"/>
  <c r="AL16" i="1"/>
  <c r="AG16" i="1"/>
  <c r="AF16" i="1"/>
  <c r="AE16" i="1"/>
  <c r="AD16" i="1"/>
  <c r="BB15" i="1"/>
  <c r="BA15" i="1"/>
  <c r="AY15" i="1"/>
  <c r="AX15" i="1"/>
  <c r="AW15" i="1"/>
  <c r="AG15" i="1"/>
  <c r="AF15" i="1"/>
  <c r="AD15" i="1"/>
  <c r="Q15" i="1"/>
  <c r="BB14" i="1"/>
  <c r="BA14" i="1"/>
  <c r="AY14" i="1"/>
  <c r="AW14" i="1"/>
  <c r="AG14" i="1"/>
  <c r="AF14" i="1"/>
  <c r="G14" i="1"/>
  <c r="BB13" i="1"/>
  <c r="BA13" i="1"/>
  <c r="AY13" i="1"/>
  <c r="AX13" i="1"/>
  <c r="AW13" i="1"/>
  <c r="AG13" i="1"/>
  <c r="AF13" i="1"/>
  <c r="AE13" i="1"/>
  <c r="BB12" i="1"/>
  <c r="BA12" i="1"/>
  <c r="AZ12" i="1"/>
  <c r="AY12" i="1"/>
  <c r="AX12" i="1"/>
  <c r="AW12" i="1"/>
  <c r="AV12" i="1"/>
  <c r="AO12" i="1"/>
  <c r="AE12" i="1"/>
  <c r="BB11" i="1"/>
  <c r="BA11" i="1"/>
  <c r="AY11" i="1"/>
  <c r="AX11" i="1"/>
  <c r="AT11" i="1"/>
  <c r="AG11" i="1"/>
  <c r="AF11" i="1"/>
  <c r="AD11" i="1"/>
  <c r="Q11" i="1"/>
  <c r="K11" i="1"/>
  <c r="BB10" i="1"/>
  <c r="AO10" i="1"/>
  <c r="AE10" i="1"/>
  <c r="BB9" i="1"/>
  <c r="BA9" i="1"/>
  <c r="AZ9" i="1"/>
  <c r="AY9" i="1"/>
  <c r="AX9" i="1"/>
  <c r="AW9" i="1"/>
  <c r="AO9" i="1"/>
  <c r="AE9" i="1"/>
  <c r="BB8" i="1"/>
  <c r="BA8" i="1"/>
  <c r="AZ8" i="1"/>
  <c r="AY8" i="1"/>
  <c r="AX8" i="1"/>
  <c r="AW8" i="1"/>
  <c r="AV8" i="1"/>
  <c r="AO8" i="1"/>
  <c r="AE8" i="1"/>
  <c r="BB7" i="1"/>
  <c r="AO7" i="1"/>
  <c r="AE7" i="1"/>
  <c r="AD7" i="1"/>
  <c r="BB6" i="1"/>
  <c r="AO6" i="1"/>
  <c r="AD6" i="1"/>
  <c r="BB5" i="1"/>
  <c r="BA5" i="1"/>
  <c r="AZ5" i="1"/>
  <c r="AY5" i="1"/>
  <c r="AX5" i="1"/>
  <c r="AW5" i="1"/>
  <c r="AV5" i="1"/>
  <c r="AO5" i="1"/>
  <c r="AE5" i="1"/>
  <c r="BB4" i="1"/>
  <c r="BA4" i="1"/>
  <c r="AZ4" i="1"/>
  <c r="AY4" i="1"/>
  <c r="AX4" i="1"/>
  <c r="AW4" i="1"/>
  <c r="AO4" i="1"/>
  <c r="AE4" i="1"/>
  <c r="AT96" i="1" l="1"/>
  <c r="AN96" i="1"/>
  <c r="AM96" i="1"/>
  <c r="AL96" i="1"/>
  <c r="AG96" i="1"/>
  <c r="AF96" i="1"/>
  <c r="AC96" i="1"/>
  <c r="AV94" i="1"/>
  <c r="AP94" i="1"/>
  <c r="AQ94" i="1" s="1"/>
  <c r="AR94" i="1" s="1"/>
  <c r="AP86" i="1"/>
  <c r="AR86" i="1" s="1"/>
  <c r="AP85" i="1"/>
  <c r="AQ85" i="1" s="1"/>
  <c r="AR85" i="1" s="1"/>
  <c r="AP84" i="1"/>
  <c r="AR84" i="1" s="1"/>
  <c r="AP83" i="1"/>
  <c r="AR83" i="1" s="1"/>
  <c r="AP82" i="1"/>
  <c r="AR82" i="1" s="1"/>
  <c r="AP81" i="1"/>
  <c r="AR81" i="1" s="1"/>
  <c r="AE80" i="1"/>
  <c r="AP78" i="1"/>
  <c r="AR78" i="1" s="1"/>
  <c r="AP77" i="1"/>
  <c r="AR77" i="1" s="1"/>
  <c r="AP76" i="1"/>
  <c r="AQ76" i="1" s="1"/>
  <c r="AR76" i="1" s="1"/>
  <c r="AP75" i="1"/>
  <c r="AR75" i="1" s="1"/>
  <c r="AP74" i="1"/>
  <c r="AQ74" i="1" s="1"/>
  <c r="AR74" i="1" s="1"/>
  <c r="AE72" i="1"/>
  <c r="AP71" i="1"/>
  <c r="AR71" i="1" s="1"/>
  <c r="AZ70" i="1"/>
  <c r="AO70" i="1"/>
  <c r="AE70" i="1"/>
  <c r="AP69" i="1"/>
  <c r="AR69" i="1" s="1"/>
  <c r="AP68" i="1"/>
  <c r="AR68" i="1" s="1"/>
  <c r="AP67" i="1"/>
  <c r="AR67" i="1" s="1"/>
  <c r="AP66" i="1"/>
  <c r="AR66" i="1" s="1"/>
  <c r="AP64" i="1"/>
  <c r="AQ64" i="1" s="1"/>
  <c r="AP63" i="1"/>
  <c r="AR63" i="1" s="1"/>
  <c r="AE62" i="1"/>
  <c r="AP61" i="1"/>
  <c r="AR61" i="1" s="1"/>
  <c r="AP60" i="1"/>
  <c r="AR60" i="1" s="1"/>
  <c r="AP59" i="1"/>
  <c r="AQ59" i="1" s="1"/>
  <c r="AR59" i="1" s="1"/>
  <c r="AP58" i="1"/>
  <c r="AR58" i="1" s="1"/>
  <c r="AP57" i="1"/>
  <c r="AR57" i="1" s="1"/>
  <c r="AP56" i="1"/>
  <c r="AQ56" i="1" s="1"/>
  <c r="AR56" i="1" s="1"/>
  <c r="AP48" i="1"/>
  <c r="AQ48" i="1" s="1"/>
  <c r="AR48" i="1" s="1"/>
  <c r="AP46" i="1"/>
  <c r="AR46" i="1" s="1"/>
  <c r="AW42" i="1"/>
  <c r="AP92" i="1"/>
  <c r="AR92" i="1" s="1"/>
  <c r="AP91" i="1"/>
  <c r="AR91" i="1" s="1"/>
  <c r="AP79" i="1"/>
  <c r="AQ79" i="1" s="1"/>
  <c r="AR79" i="1" s="1"/>
  <c r="AO55" i="1"/>
  <c r="AP55" i="1" s="1"/>
  <c r="AR55" i="1" s="1"/>
  <c r="AP54" i="1"/>
  <c r="AR54" i="1" s="1"/>
  <c r="AP53" i="1"/>
  <c r="AQ53" i="1" s="1"/>
  <c r="AR53" i="1" s="1"/>
  <c r="AP52" i="1"/>
  <c r="AR52" i="1" s="1"/>
  <c r="AP51" i="1"/>
  <c r="AR51" i="1" s="1"/>
  <c r="AP50" i="1"/>
  <c r="AQ50" i="1" s="1"/>
  <c r="AR50" i="1" s="1"/>
  <c r="AP49" i="1"/>
  <c r="AR49" i="1" s="1"/>
  <c r="AP47" i="1"/>
  <c r="AR47" i="1" s="1"/>
  <c r="AP44" i="1"/>
  <c r="AR44" i="1" s="1"/>
  <c r="AP39" i="1"/>
  <c r="AQ39" i="1" s="1"/>
  <c r="AR39" i="1" s="1"/>
  <c r="AP45" i="1"/>
  <c r="AR45" i="1" s="1"/>
  <c r="AP43" i="1"/>
  <c r="AR43" i="1" s="1"/>
  <c r="AV42" i="1"/>
  <c r="AP37" i="1"/>
  <c r="AR37" i="1" s="1"/>
  <c r="AP89" i="1"/>
  <c r="AR89" i="1" s="1"/>
  <c r="AR64" i="1"/>
  <c r="AO42" i="1"/>
  <c r="AP42" i="1" s="1"/>
  <c r="AR42" i="1" s="1"/>
  <c r="AP41" i="1"/>
  <c r="AR41" i="1" s="1"/>
  <c r="AP40" i="1"/>
  <c r="AR40" i="1" s="1"/>
  <c r="AP38" i="1"/>
  <c r="AR38" i="1" s="1"/>
  <c r="AP36" i="1"/>
  <c r="AR36" i="1" s="1"/>
  <c r="AP35" i="1"/>
  <c r="AQ35" i="1" s="1"/>
  <c r="AR35" i="1" s="1"/>
  <c r="AP34" i="1"/>
  <c r="AR34" i="1" s="1"/>
  <c r="AO33" i="1"/>
  <c r="AP33" i="1" s="1"/>
  <c r="AR33" i="1" s="1"/>
  <c r="AP32" i="1"/>
  <c r="AR32" i="1" s="1"/>
  <c r="AP31" i="1"/>
  <c r="AQ31" i="1" s="1"/>
  <c r="AR31" i="1" s="1"/>
  <c r="AP30" i="1"/>
  <c r="AR30" i="1" s="1"/>
  <c r="AP29" i="1"/>
  <c r="AR29" i="1" s="1"/>
  <c r="AR28" i="1"/>
  <c r="AZ20" i="1"/>
  <c r="AW20" i="1"/>
  <c r="AP95" i="1"/>
  <c r="AQ95" i="1" s="1"/>
  <c r="AR95" i="1" s="1"/>
  <c r="AP88" i="1"/>
  <c r="AR88" i="1" s="1"/>
  <c r="AP73" i="1"/>
  <c r="AR73" i="1" s="1"/>
  <c r="AV27" i="1"/>
  <c r="AE27" i="1"/>
  <c r="AP26" i="1"/>
  <c r="AR26" i="1" s="1"/>
  <c r="AP25" i="1"/>
  <c r="AQ25" i="1" s="1"/>
  <c r="AR25" i="1" s="1"/>
  <c r="AV24" i="1"/>
  <c r="AP24" i="1"/>
  <c r="AQ24" i="1" s="1"/>
  <c r="AR24" i="1" s="1"/>
  <c r="AV23" i="1"/>
  <c r="AO23" i="1"/>
  <c r="AP23" i="1" s="1"/>
  <c r="AQ23" i="1" s="1"/>
  <c r="AR23" i="1" s="1"/>
  <c r="AV22" i="1"/>
  <c r="AV21" i="1"/>
  <c r="AE21" i="1"/>
  <c r="AS20" i="1"/>
  <c r="AV20" i="1" s="1"/>
  <c r="AO20" i="1"/>
  <c r="AP20" i="1" s="1"/>
  <c r="AR20" i="1" s="1"/>
  <c r="AS16" i="1"/>
  <c r="AV16" i="1" s="1"/>
  <c r="AO16" i="1"/>
  <c r="AP16" i="1" s="1"/>
  <c r="AQ16" i="1" s="1"/>
  <c r="AR16" i="1" s="1"/>
  <c r="AP22" i="1"/>
  <c r="AQ22" i="1" s="1"/>
  <c r="AR22" i="1" s="1"/>
  <c r="AZ18" i="1"/>
  <c r="AS18" i="1"/>
  <c r="AV18" i="1" s="1"/>
  <c r="AP18" i="1"/>
  <c r="AQ18" i="1" s="1"/>
  <c r="AR18" i="1" s="1"/>
  <c r="AS19" i="1"/>
  <c r="AV19" i="1" s="1"/>
  <c r="AO19" i="1"/>
  <c r="AP19" i="1" s="1"/>
  <c r="AQ19" i="1" s="1"/>
  <c r="AR19" i="1" s="1"/>
  <c r="AP17" i="1"/>
  <c r="AQ17" i="1" s="1"/>
  <c r="AR17" i="1" s="1"/>
  <c r="AZ16" i="1"/>
  <c r="AZ15" i="1"/>
  <c r="AS15" i="1"/>
  <c r="AV15" i="1" s="1"/>
  <c r="AO15" i="1"/>
  <c r="AE15" i="1"/>
  <c r="AZ14" i="1"/>
  <c r="AX14" i="1"/>
  <c r="AS14" i="1"/>
  <c r="AV14" i="1" s="1"/>
  <c r="AO14" i="1"/>
  <c r="AE14" i="1"/>
  <c r="AZ13" i="1"/>
  <c r="AS13" i="1"/>
  <c r="AV13" i="1" s="1"/>
  <c r="AO13" i="1"/>
  <c r="AP13" i="1" s="1"/>
  <c r="AQ13" i="1" s="1"/>
  <c r="AR13" i="1" s="1"/>
  <c r="AP12" i="1"/>
  <c r="AR12" i="1" s="1"/>
  <c r="AZ11" i="1"/>
  <c r="AW11" i="1"/>
  <c r="AS11" i="1"/>
  <c r="AO11" i="1"/>
  <c r="AE11" i="1"/>
  <c r="AP10" i="1"/>
  <c r="AR10" i="1" s="1"/>
  <c r="AP9" i="1"/>
  <c r="AQ9" i="1" s="1"/>
  <c r="AR9" i="1" s="1"/>
  <c r="AP8" i="1"/>
  <c r="AR8" i="1" s="1"/>
  <c r="AP7" i="1"/>
  <c r="AR7" i="1" s="1"/>
  <c r="AP90" i="1"/>
  <c r="AR90" i="1" s="1"/>
  <c r="AE6" i="1"/>
  <c r="AP5" i="1"/>
  <c r="AQ5" i="1" s="1"/>
  <c r="AR5" i="1" s="1"/>
  <c r="AP4" i="1"/>
  <c r="AD96" i="1"/>
  <c r="AP93" i="1"/>
  <c r="AR93" i="1" s="1"/>
  <c r="AP87" i="1"/>
  <c r="AQ87" i="1" s="1"/>
  <c r="AR87" i="1" s="1"/>
  <c r="AP65" i="1"/>
  <c r="AR65" i="1" s="1"/>
  <c r="AV11" i="1" l="1"/>
  <c r="AV96" i="1" s="1"/>
  <c r="AS96" i="1"/>
  <c r="AP6" i="1"/>
  <c r="AR6" i="1" s="1"/>
  <c r="AE96" i="1"/>
  <c r="AQ4" i="1"/>
  <c r="AP62" i="1"/>
  <c r="AR62" i="1" s="1"/>
  <c r="AP27" i="1"/>
  <c r="AQ27" i="1" s="1"/>
  <c r="AR27" i="1" s="1"/>
  <c r="AP21" i="1"/>
  <c r="AQ21" i="1" s="1"/>
  <c r="AR21" i="1" s="1"/>
  <c r="AP15" i="1"/>
  <c r="AR15" i="1" s="1"/>
  <c r="AP14" i="1"/>
  <c r="AQ14" i="1" s="1"/>
  <c r="AR14" i="1" s="1"/>
  <c r="AP70" i="1"/>
  <c r="AR70" i="1" s="1"/>
  <c r="AP11" i="1"/>
  <c r="AR11" i="1" s="1"/>
  <c r="AO96" i="1"/>
  <c r="AP80" i="1"/>
  <c r="AR80" i="1" s="1"/>
  <c r="AP72" i="1"/>
  <c r="AR72" i="1" s="1"/>
  <c r="AR4" i="1" l="1"/>
  <c r="AQ96" i="1"/>
  <c r="AP96" i="1"/>
</calcChain>
</file>

<file path=xl/sharedStrings.xml><?xml version="1.0" encoding="utf-8"?>
<sst xmlns="http://schemas.openxmlformats.org/spreadsheetml/2006/main" count="170" uniqueCount="99">
  <si>
    <t>تقرير مشاريع تربية الدجاج اللاحم لعام2025م</t>
  </si>
  <si>
    <t>التكاليف</t>
  </si>
  <si>
    <t>الأيرادات</t>
  </si>
  <si>
    <t>نتيجة الدفعة</t>
  </si>
  <si>
    <t>نصيب الشركة</t>
  </si>
  <si>
    <t>النسبة</t>
  </si>
  <si>
    <t>مقارنات</t>
  </si>
  <si>
    <t>اسم العنبر</t>
  </si>
  <si>
    <t>فترة التسمين</t>
  </si>
  <si>
    <t>العلف - طن</t>
  </si>
  <si>
    <t>الكتاكيت-كتكوت</t>
  </si>
  <si>
    <t>النشارة - كيس</t>
  </si>
  <si>
    <t>الماء-زفة</t>
  </si>
  <si>
    <t>الغاز - دبة</t>
  </si>
  <si>
    <t>العلاجات</t>
  </si>
  <si>
    <t>اجور نقل علف</t>
  </si>
  <si>
    <t>مصاريف عنبر</t>
  </si>
  <si>
    <t>مصاريف بيت</t>
  </si>
  <si>
    <t>اجور المربيين</t>
  </si>
  <si>
    <t>قات مربيين</t>
  </si>
  <si>
    <t>ايجار العنبر</t>
  </si>
  <si>
    <t>اضائة</t>
  </si>
  <si>
    <t>اجور مشرف العنبر</t>
  </si>
  <si>
    <t>اجور مشرف الشركة</t>
  </si>
  <si>
    <t>اجور مشرف البيع</t>
  </si>
  <si>
    <t>ادار وحسابات</t>
  </si>
  <si>
    <t>اجور لقاحات</t>
  </si>
  <si>
    <t>توصيل خدمات</t>
  </si>
  <si>
    <t>اجور حمالة وخلط علف</t>
  </si>
  <si>
    <t>تغسيل</t>
  </si>
  <si>
    <t>عهد و مصاريف اخرى</t>
  </si>
  <si>
    <t>اجمالي التكاليف</t>
  </si>
  <si>
    <t>اجمالي بيع عملاء بالعنبر</t>
  </si>
  <si>
    <t>اجمالي بيع السوق</t>
  </si>
  <si>
    <t>اجمالي بيع ذبل</t>
  </si>
  <si>
    <t>اجمالي بيع علف</t>
  </si>
  <si>
    <t>علف نقل للعنابر</t>
  </si>
  <si>
    <t>علاج مرتجع</t>
  </si>
  <si>
    <t>نقل غاز+نشارة</t>
  </si>
  <si>
    <t>اجمالي الإيرادات</t>
  </si>
  <si>
    <t>اجمالي مباع</t>
  </si>
  <si>
    <t>اجمالي نافق</t>
  </si>
  <si>
    <t>اجمالي مستهلك</t>
  </si>
  <si>
    <t>الفارق+-</t>
  </si>
  <si>
    <t>نسبة النافق</t>
  </si>
  <si>
    <t>اسعار الكتاكيت</t>
  </si>
  <si>
    <t>اسعار العلف</t>
  </si>
  <si>
    <t>متوسط البيع</t>
  </si>
  <si>
    <t>تاريخ الدخول</t>
  </si>
  <si>
    <t>أيام الدفعة</t>
  </si>
  <si>
    <t>من</t>
  </si>
  <si>
    <t>الى</t>
  </si>
  <si>
    <t>كمية</t>
  </si>
  <si>
    <t>قيمة</t>
  </si>
  <si>
    <t>حبة</t>
  </si>
  <si>
    <t>من الكمية</t>
  </si>
  <si>
    <t>للكتكوت</t>
  </si>
  <si>
    <t>متوسط-للطن</t>
  </si>
  <si>
    <t>للحبة</t>
  </si>
  <si>
    <t>يوم</t>
  </si>
  <si>
    <t>عنبر محسن شمسان</t>
  </si>
  <si>
    <t>عنبر هيثم القيسي</t>
  </si>
  <si>
    <t>عنبر حمود الحوالي</t>
  </si>
  <si>
    <t>عنبر عصام زهير</t>
  </si>
  <si>
    <t>عنبر يحيى مسمار1</t>
  </si>
  <si>
    <t>عنبر محمد صالح شمسان</t>
  </si>
  <si>
    <t>عنبر سليم شويط</t>
  </si>
  <si>
    <t>عبدالله كراع العلوي-سالم القهالي</t>
  </si>
  <si>
    <t>عنبر وليد مسمار1</t>
  </si>
  <si>
    <t>عنبر عمار الاخرم</t>
  </si>
  <si>
    <t>عنبر مراد فرج</t>
  </si>
  <si>
    <t>عبدالله كراع السفلي-سالم القهالي</t>
  </si>
  <si>
    <t>عنبر خالد شمسان رقم1</t>
  </si>
  <si>
    <t>عنبر سرحان الفيشي</t>
  </si>
  <si>
    <t>عنبر يحيى مسمار رقم2</t>
  </si>
  <si>
    <t>عنبر إبراهيم شويط</t>
  </si>
  <si>
    <t>عنبر علي عايض حيدان</t>
  </si>
  <si>
    <t>عنابر يشيع شراكة راجح البني</t>
  </si>
  <si>
    <t>عنبر غمدان سعيد</t>
  </si>
  <si>
    <t>عنبر يحيى شمسان</t>
  </si>
  <si>
    <t>عنبر عادل جابر</t>
  </si>
  <si>
    <t>عنبر صفوان مركاع</t>
  </si>
  <si>
    <t>عنبر خالد شمسان رقم2</t>
  </si>
  <si>
    <t>صالح كراع السفلي-سالم القهالي</t>
  </si>
  <si>
    <t>عنبر كمال وهاس</t>
  </si>
  <si>
    <t>صالح كراع العلوي-سالم القهالي</t>
  </si>
  <si>
    <t>عنبر يحيى مسمار2</t>
  </si>
  <si>
    <t>عنبر الحمزي</t>
  </si>
  <si>
    <t>عنبر امين البني</t>
  </si>
  <si>
    <t>عنبر عبدالله كراع العلوي</t>
  </si>
  <si>
    <t>عنبر صالح كراع السفلي</t>
  </si>
  <si>
    <t>عنبر عبدالله كراع السفلي</t>
  </si>
  <si>
    <t>عنبر صالح كراع العلوي</t>
  </si>
  <si>
    <t>30/02/2025</t>
  </si>
  <si>
    <t>30/2/2025</t>
  </si>
  <si>
    <t>عمليات مدينة تابع لخسائر العنبر</t>
  </si>
  <si>
    <t>عمليات دائنة تابع لارباح العنابر</t>
  </si>
  <si>
    <t>الإجمــــــــالي</t>
  </si>
  <si>
    <t xml:space="preserve">نوع المصروف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</si>
</sst>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ر.س.‏&quot;_-;\-* #,##0.00\ &quot;ر.س.‏&quot;_-;_-* &quot;-&quot;??\ &quot;ر.س.‏&quot;_-;_-@_-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4"/>
      <color rgb="FF000000"/>
      <name val="Arial"/>
      <family val="2"/>
    </font>
    <font>
      <b/>
      <sz val="20"/>
      <color rgb="FF000000"/>
      <name val="Times New Roman"/>
      <family val="1"/>
    </font>
    <font>
      <b/>
      <sz val="14"/>
      <color rgb="FF1F497D"/>
      <name val="Times New Roman"/>
      <family val="1"/>
    </font>
    <font>
      <b/>
      <sz val="11"/>
      <color rgb="FF1F497D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0000"/>
      <name val="Arial"/>
      <family val="2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0070C0"/>
      <name val="Times New Roman"/>
      <family val="1"/>
    </font>
    <font>
      <b/>
      <sz val="9"/>
      <color rgb="FFFF0000"/>
      <name val="Times New Roman"/>
      <family val="1"/>
    </font>
    <font>
      <b/>
      <sz val="18"/>
      <color rgb="FF000000"/>
      <name val="Times New Roman"/>
      <family val="1"/>
    </font>
    <font>
      <b/>
      <sz val="8"/>
      <name val="Times New Roman"/>
      <family val="1"/>
    </font>
    <font>
      <b/>
      <sz val="9"/>
      <color rgb="FF1F497D"/>
      <name val="Times New Roman"/>
      <family val="1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7DEE8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B8CCE4"/>
        <bgColor rgb="FF000000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6" fillId="0" borderId="1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" fontId="13" fillId="4" borderId="16" xfId="0" applyNumberFormat="1" applyFont="1" applyFill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right" vertical="center"/>
    </xf>
    <xf numFmtId="14" fontId="8" fillId="0" borderId="3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4" fontId="13" fillId="0" borderId="16" xfId="0" applyNumberFormat="1" applyFont="1" applyBorder="1" applyAlignment="1">
      <alignment horizontal="center" vertical="center"/>
    </xf>
    <xf numFmtId="4" fontId="14" fillId="6" borderId="1" xfId="0" applyNumberFormat="1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4" fontId="14" fillId="6" borderId="21" xfId="0" applyNumberFormat="1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4" fontId="13" fillId="6" borderId="3" xfId="0" applyNumberFormat="1" applyFont="1" applyFill="1" applyBorder="1" applyAlignment="1">
      <alignment horizontal="center" vertical="center"/>
    </xf>
    <xf numFmtId="9" fontId="13" fillId="6" borderId="3" xfId="2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center" vertical="center"/>
    </xf>
    <xf numFmtId="10" fontId="13" fillId="0" borderId="16" xfId="0" applyNumberFormat="1" applyFont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right" vertical="center"/>
    </xf>
    <xf numFmtId="0" fontId="16" fillId="9" borderId="16" xfId="0" applyFont="1" applyFill="1" applyBorder="1" applyAlignment="1">
      <alignment horizontal="right" vertical="center"/>
    </xf>
    <xf numFmtId="0" fontId="16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4" fontId="13" fillId="3" borderId="23" xfId="0" applyNumberFormat="1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4" fontId="9" fillId="3" borderId="23" xfId="0" applyNumberFormat="1" applyFont="1" applyFill="1" applyBorder="1" applyAlignment="1">
      <alignment horizontal="center" vertical="center"/>
    </xf>
    <xf numFmtId="4" fontId="14" fillId="6" borderId="24" xfId="0" applyNumberFormat="1" applyFont="1" applyFill="1" applyBorder="1" applyAlignment="1">
      <alignment horizontal="center" vertical="center"/>
    </xf>
    <xf numFmtId="0" fontId="17" fillId="10" borderId="25" xfId="0" applyFont="1" applyFill="1" applyBorder="1" applyAlignment="1">
      <alignment horizontal="center" vertical="center"/>
    </xf>
    <xf numFmtId="4" fontId="13" fillId="10" borderId="23" xfId="0" applyNumberFormat="1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4" fontId="9" fillId="10" borderId="23" xfId="0" applyNumberFormat="1" applyFont="1" applyFill="1" applyBorder="1" applyAlignment="1">
      <alignment horizontal="center" vertical="center"/>
    </xf>
    <xf numFmtId="4" fontId="14" fillId="6" borderId="26" xfId="0" applyNumberFormat="1" applyFont="1" applyFill="1" applyBorder="1" applyAlignment="1">
      <alignment horizontal="center" vertical="center"/>
    </xf>
    <xf numFmtId="4" fontId="18" fillId="5" borderId="22" xfId="0" applyNumberFormat="1" applyFont="1" applyFill="1" applyBorder="1" applyAlignment="1">
      <alignment horizontal="center" vertical="center"/>
    </xf>
    <xf numFmtId="0" fontId="19" fillId="0" borderId="16" xfId="0" applyFont="1" applyBorder="1"/>
    <xf numFmtId="0" fontId="10" fillId="6" borderId="13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44" fontId="5" fillId="6" borderId="9" xfId="1" applyFont="1" applyFill="1" applyBorder="1" applyAlignment="1">
      <alignment horizontal="center" vertical="center"/>
    </xf>
    <xf numFmtId="44" fontId="5" fillId="6" borderId="17" xfId="1" applyFont="1" applyFill="1" applyBorder="1" applyAlignment="1">
      <alignment horizontal="center" vertical="center"/>
    </xf>
  </cellXfs>
  <cellStyles count="3">
    <cellStyle name="Currency" xfId="1" builtinId="4"/>
    <cellStyle name="Percent" xfId="2" builtinId="5"/>
    <cellStyle name="عادي" xfId="0" builtinId="0"/>
  </cellStyles>
  <dxfs count="4"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1605;&#1604;&#1601;%20&#1578;&#1581;&#1605;&#1610;&#1604;&#1575;&#1578;%20&#1575;&#1604;&#1608;&#1578;&#1587;&#1575;&#1576;\&#1578;&#1602;&#1585;&#1610;&#1585;%20&#1575;&#1604;&#1593;&#1606;&#1575;&#1576;&#1585;2025&#1605;.xlsx" TargetMode="External"/><Relationship Id="rId1" Type="http://schemas.openxmlformats.org/officeDocument/2006/relationships/externalLinkPath" Target="&#1578;&#1602;&#1585;&#1610;&#1585;%20&#1575;&#1604;&#1593;&#1606;&#1575;&#1576;&#1585;2025&#16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تقرير العنابر 2025"/>
      <sheetName val="عمليات اخرى"/>
      <sheetName val="تقرير اجمالي"/>
      <sheetName val="تقرير تفصيلي عنابر"/>
      <sheetName val="ورقة1"/>
      <sheetName val="ورقة3"/>
    </sheetNames>
    <sheetDataSet>
      <sheetData sheetId="0"/>
      <sheetData sheetId="1">
        <row r="17">
          <cell r="J17"/>
        </row>
        <row r="41">
          <cell r="D41"/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6"/>
  <sheetViews>
    <sheetView rightToLeft="1" tabSelected="1" topLeftCell="AE1" zoomScale="70" zoomScaleNormal="70" workbookViewId="0">
      <selection activeCell="BE3" sqref="BE3"/>
    </sheetView>
  </sheetViews>
  <sheetFormatPr defaultRowHeight="14.15" x14ac:dyDescent="0.35"/>
  <sheetData>
    <row r="1" spans="1:54" ht="24.9" x14ac:dyDescent="0.35">
      <c r="A1" s="55" t="s">
        <v>0</v>
      </c>
      <c r="B1" s="56"/>
      <c r="C1" s="56"/>
      <c r="D1" s="57"/>
      <c r="E1" s="58" t="s">
        <v>1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60"/>
      <c r="AF1" s="61" t="s">
        <v>2</v>
      </c>
      <c r="AG1" s="62"/>
      <c r="AH1" s="62"/>
      <c r="AI1" s="62"/>
      <c r="AJ1" s="62"/>
      <c r="AK1" s="62"/>
      <c r="AL1" s="62"/>
      <c r="AM1" s="62"/>
      <c r="AN1" s="62"/>
      <c r="AO1" s="63"/>
      <c r="AP1" s="64" t="s">
        <v>3</v>
      </c>
      <c r="AQ1" s="67" t="s">
        <v>4</v>
      </c>
      <c r="AR1" s="69" t="s">
        <v>5</v>
      </c>
      <c r="AS1" s="51" t="s">
        <v>6</v>
      </c>
      <c r="AT1" s="52"/>
      <c r="AU1" s="52"/>
      <c r="AV1" s="52"/>
      <c r="AW1" s="52"/>
      <c r="AX1" s="52"/>
      <c r="AY1" s="52"/>
      <c r="AZ1" s="52"/>
      <c r="BA1" s="52"/>
      <c r="BB1" s="52"/>
    </row>
    <row r="2" spans="1:54" ht="19.75" x14ac:dyDescent="0.35">
      <c r="A2" s="1" t="s">
        <v>98</v>
      </c>
      <c r="B2" s="53" t="s">
        <v>8</v>
      </c>
      <c r="C2" s="54"/>
      <c r="D2" s="44" t="s">
        <v>9</v>
      </c>
      <c r="E2" s="45"/>
      <c r="F2" s="44" t="s">
        <v>10</v>
      </c>
      <c r="G2" s="45"/>
      <c r="H2" s="44" t="s">
        <v>11</v>
      </c>
      <c r="I2" s="45"/>
      <c r="J2" s="44" t="s">
        <v>12</v>
      </c>
      <c r="K2" s="45"/>
      <c r="L2" s="44" t="s">
        <v>13</v>
      </c>
      <c r="M2" s="45"/>
      <c r="N2" s="46" t="s">
        <v>14</v>
      </c>
      <c r="O2" s="46" t="s">
        <v>15</v>
      </c>
      <c r="P2" s="46" t="s">
        <v>16</v>
      </c>
      <c r="Q2" s="46" t="s">
        <v>17</v>
      </c>
      <c r="R2" s="46" t="s">
        <v>18</v>
      </c>
      <c r="S2" s="46" t="s">
        <v>19</v>
      </c>
      <c r="T2" s="46" t="s">
        <v>20</v>
      </c>
      <c r="U2" s="46" t="s">
        <v>21</v>
      </c>
      <c r="V2" s="46" t="s">
        <v>22</v>
      </c>
      <c r="W2" s="46" t="s">
        <v>23</v>
      </c>
      <c r="X2" s="46" t="s">
        <v>24</v>
      </c>
      <c r="Y2" s="46" t="s">
        <v>25</v>
      </c>
      <c r="Z2" s="46" t="s">
        <v>26</v>
      </c>
      <c r="AA2" s="46" t="s">
        <v>27</v>
      </c>
      <c r="AB2" s="48" t="s">
        <v>28</v>
      </c>
      <c r="AC2" s="46" t="s">
        <v>29</v>
      </c>
      <c r="AD2" s="48" t="s">
        <v>30</v>
      </c>
      <c r="AE2" s="42" t="s">
        <v>31</v>
      </c>
      <c r="AF2" s="50" t="s">
        <v>32</v>
      </c>
      <c r="AG2" s="45"/>
      <c r="AH2" s="44" t="s">
        <v>33</v>
      </c>
      <c r="AI2" s="45"/>
      <c r="AJ2" s="46" t="s">
        <v>34</v>
      </c>
      <c r="AK2" s="46" t="s">
        <v>35</v>
      </c>
      <c r="AL2" s="46" t="s">
        <v>36</v>
      </c>
      <c r="AM2" s="46" t="s">
        <v>37</v>
      </c>
      <c r="AN2" s="46" t="s">
        <v>38</v>
      </c>
      <c r="AO2" s="42" t="s">
        <v>39</v>
      </c>
      <c r="AP2" s="65"/>
      <c r="AQ2" s="67"/>
      <c r="AR2" s="69"/>
      <c r="AS2" s="4" t="s">
        <v>40</v>
      </c>
      <c r="AT2" s="4" t="s">
        <v>41</v>
      </c>
      <c r="AU2" s="4" t="s">
        <v>42</v>
      </c>
      <c r="AV2" s="4" t="s">
        <v>43</v>
      </c>
      <c r="AW2" s="4" t="s">
        <v>44</v>
      </c>
      <c r="AX2" s="5" t="s">
        <v>45</v>
      </c>
      <c r="AY2" s="5" t="s">
        <v>46</v>
      </c>
      <c r="AZ2" s="6" t="s">
        <v>47</v>
      </c>
      <c r="BA2" s="7" t="s">
        <v>48</v>
      </c>
      <c r="BB2" s="3" t="s">
        <v>49</v>
      </c>
    </row>
    <row r="3" spans="1:54" ht="19.75" x14ac:dyDescent="0.35">
      <c r="A3" s="1" t="s">
        <v>7</v>
      </c>
      <c r="B3" s="2" t="s">
        <v>50</v>
      </c>
      <c r="C3" s="8" t="s">
        <v>51</v>
      </c>
      <c r="D3" s="7" t="s">
        <v>52</v>
      </c>
      <c r="E3" s="7" t="s">
        <v>53</v>
      </c>
      <c r="F3" s="7" t="s">
        <v>52</v>
      </c>
      <c r="G3" s="7" t="s">
        <v>53</v>
      </c>
      <c r="H3" s="7" t="s">
        <v>52</v>
      </c>
      <c r="I3" s="7" t="s">
        <v>53</v>
      </c>
      <c r="J3" s="7" t="s">
        <v>52</v>
      </c>
      <c r="K3" s="7" t="s">
        <v>53</v>
      </c>
      <c r="L3" s="7" t="s">
        <v>52</v>
      </c>
      <c r="M3" s="7" t="s">
        <v>53</v>
      </c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9"/>
      <c r="AC3" s="47"/>
      <c r="AD3" s="49"/>
      <c r="AE3" s="43"/>
      <c r="AF3" s="9" t="s">
        <v>52</v>
      </c>
      <c r="AG3" s="7" t="s">
        <v>53</v>
      </c>
      <c r="AH3" s="7" t="s">
        <v>52</v>
      </c>
      <c r="AI3" s="7" t="s">
        <v>53</v>
      </c>
      <c r="AJ3" s="47"/>
      <c r="AK3" s="47"/>
      <c r="AL3" s="47"/>
      <c r="AM3" s="47"/>
      <c r="AN3" s="47"/>
      <c r="AO3" s="43"/>
      <c r="AP3" s="66"/>
      <c r="AQ3" s="68"/>
      <c r="AR3" s="70"/>
      <c r="AS3" s="4" t="s">
        <v>54</v>
      </c>
      <c r="AT3" s="4"/>
      <c r="AU3" s="4" t="s">
        <v>54</v>
      </c>
      <c r="AV3" s="4" t="s">
        <v>54</v>
      </c>
      <c r="AW3" s="4" t="s">
        <v>55</v>
      </c>
      <c r="AX3" s="5" t="s">
        <v>56</v>
      </c>
      <c r="AY3" s="5" t="s">
        <v>57</v>
      </c>
      <c r="AZ3" s="10" t="s">
        <v>58</v>
      </c>
      <c r="BA3" s="11"/>
      <c r="BB3" s="3" t="s">
        <v>59</v>
      </c>
    </row>
    <row r="4" spans="1:54" x14ac:dyDescent="0.35">
      <c r="A4" s="12" t="s">
        <v>60</v>
      </c>
      <c r="B4" s="13">
        <v>45617</v>
      </c>
      <c r="C4" s="13">
        <v>45673</v>
      </c>
      <c r="D4" s="14">
        <v>43</v>
      </c>
      <c r="E4" s="15">
        <v>12307100</v>
      </c>
      <c r="F4" s="14">
        <v>10000</v>
      </c>
      <c r="G4" s="15">
        <v>3530000</v>
      </c>
      <c r="H4" s="14">
        <v>30</v>
      </c>
      <c r="I4" s="15">
        <v>150000</v>
      </c>
      <c r="J4" s="14"/>
      <c r="K4" s="15">
        <v>336000</v>
      </c>
      <c r="L4" s="14">
        <v>156</v>
      </c>
      <c r="M4" s="15">
        <v>1014000</v>
      </c>
      <c r="N4" s="15">
        <v>2393350</v>
      </c>
      <c r="O4" s="15">
        <v>215000</v>
      </c>
      <c r="P4" s="15">
        <v>113500</v>
      </c>
      <c r="Q4" s="15">
        <v>200000</v>
      </c>
      <c r="R4" s="15">
        <v>340000</v>
      </c>
      <c r="S4" s="15">
        <v>199500</v>
      </c>
      <c r="T4" s="15">
        <v>450000</v>
      </c>
      <c r="U4" s="15">
        <v>0</v>
      </c>
      <c r="V4" s="15">
        <v>100000</v>
      </c>
      <c r="W4" s="15">
        <v>50000</v>
      </c>
      <c r="X4" s="15">
        <v>216125</v>
      </c>
      <c r="Y4" s="15">
        <v>89530</v>
      </c>
      <c r="Z4" s="15">
        <v>0</v>
      </c>
      <c r="AA4" s="15">
        <v>80000</v>
      </c>
      <c r="AB4" s="15">
        <v>40000</v>
      </c>
      <c r="AC4" s="15">
        <v>70000</v>
      </c>
      <c r="AD4" s="15">
        <v>115000</v>
      </c>
      <c r="AE4" s="16">
        <f t="shared" ref="AE4:AE67" si="0">IF(SUM(E4,G4,I4,K4,M4,N4:AD4)=0,"",SUM(E4,G4,I4,K4,M4,N4:AD4))</f>
        <v>22009105</v>
      </c>
      <c r="AF4" s="17">
        <v>8953</v>
      </c>
      <c r="AG4" s="15">
        <v>17343550</v>
      </c>
      <c r="AH4" s="14">
        <v>0</v>
      </c>
      <c r="AI4" s="15">
        <v>0</v>
      </c>
      <c r="AJ4" s="15">
        <v>648500</v>
      </c>
      <c r="AK4" s="15">
        <v>102000</v>
      </c>
      <c r="AL4" s="15">
        <v>377000</v>
      </c>
      <c r="AM4" s="15">
        <v>129960</v>
      </c>
      <c r="AN4" s="15">
        <v>241000</v>
      </c>
      <c r="AO4" s="18">
        <f t="shared" ref="AO4:AO67" si="1">IF(SUM(AG4,AI4,AJ4:AN4)=0,"",SUM(AG4,AI4,AJ4:AN4))</f>
        <v>18842010</v>
      </c>
      <c r="AP4" s="19">
        <f t="shared" ref="AP4:AP67" si="2">IF(SUM(IF(AO4="",0,AO4),-IF(AE4="",0,AE4))=0,"",SUM(IF(AO4="",0,AO4),-IF(AE4="",0,AE4)))</f>
        <v>-3167095</v>
      </c>
      <c r="AQ4" s="20">
        <f>AP4*75%</f>
        <v>-2375321.25</v>
      </c>
      <c r="AR4" s="21">
        <f t="shared" ref="AR4:AR67" si="3">AQ4/AP4</f>
        <v>0.75</v>
      </c>
      <c r="AS4" s="14">
        <v>8953</v>
      </c>
      <c r="AT4" s="22">
        <v>893</v>
      </c>
      <c r="AU4" s="14">
        <v>138</v>
      </c>
      <c r="AV4" s="23">
        <v>-16</v>
      </c>
      <c r="AW4" s="24">
        <f>AT4/F4</f>
        <v>8.9300000000000004E-2</v>
      </c>
      <c r="AX4" s="15">
        <f>G4/F4</f>
        <v>353</v>
      </c>
      <c r="AY4" s="15">
        <f>E4/D4</f>
        <v>286211.62790697673</v>
      </c>
      <c r="AZ4" s="15">
        <f>SUM(AI4+AG4)/SUM(AH4+AF4)</f>
        <v>1937.1774824081313</v>
      </c>
      <c r="BA4" s="13">
        <f>B4</f>
        <v>45617</v>
      </c>
      <c r="BB4" s="14">
        <f t="shared" ref="BB4:BB67" si="4">C4-B4</f>
        <v>56</v>
      </c>
    </row>
    <row r="5" spans="1:54" x14ac:dyDescent="0.35">
      <c r="A5" s="12" t="s">
        <v>61</v>
      </c>
      <c r="B5" s="13">
        <v>45621</v>
      </c>
      <c r="C5" s="13">
        <v>45681</v>
      </c>
      <c r="D5" s="14">
        <v>44</v>
      </c>
      <c r="E5" s="15">
        <v>12528625</v>
      </c>
      <c r="F5" s="14">
        <v>11000</v>
      </c>
      <c r="G5" s="15">
        <v>4270200</v>
      </c>
      <c r="H5" s="14">
        <v>47</v>
      </c>
      <c r="I5" s="15">
        <v>235000</v>
      </c>
      <c r="J5" s="14"/>
      <c r="K5" s="15">
        <v>352000</v>
      </c>
      <c r="L5" s="14">
        <v>212</v>
      </c>
      <c r="M5" s="15">
        <v>1378000</v>
      </c>
      <c r="N5" s="15">
        <v>2278560</v>
      </c>
      <c r="O5" s="15">
        <v>154000</v>
      </c>
      <c r="P5" s="15">
        <v>80200</v>
      </c>
      <c r="Q5" s="15">
        <v>200000</v>
      </c>
      <c r="R5" s="15">
        <v>340000</v>
      </c>
      <c r="S5" s="15">
        <v>183000</v>
      </c>
      <c r="T5" s="15">
        <v>300000</v>
      </c>
      <c r="U5" s="15">
        <v>0</v>
      </c>
      <c r="V5" s="15">
        <v>100000</v>
      </c>
      <c r="W5" s="15">
        <v>50000</v>
      </c>
      <c r="X5" s="15">
        <v>204075</v>
      </c>
      <c r="Y5" s="15">
        <v>83490</v>
      </c>
      <c r="Z5" s="15">
        <v>0</v>
      </c>
      <c r="AA5" s="15">
        <v>80000</v>
      </c>
      <c r="AB5" s="15">
        <v>26000</v>
      </c>
      <c r="AC5" s="15">
        <v>70000</v>
      </c>
      <c r="AD5" s="15">
        <v>30200</v>
      </c>
      <c r="AE5" s="16">
        <f t="shared" si="0"/>
        <v>22943350</v>
      </c>
      <c r="AF5" s="17">
        <v>8349</v>
      </c>
      <c r="AG5" s="15">
        <v>17812650</v>
      </c>
      <c r="AH5" s="14">
        <v>0</v>
      </c>
      <c r="AI5" s="15">
        <v>0</v>
      </c>
      <c r="AJ5" s="15">
        <v>698500</v>
      </c>
      <c r="AK5" s="15">
        <v>7000</v>
      </c>
      <c r="AL5" s="15">
        <v>0</v>
      </c>
      <c r="AM5" s="15">
        <v>81900</v>
      </c>
      <c r="AN5" s="15">
        <v>76000</v>
      </c>
      <c r="AO5" s="18">
        <f t="shared" si="1"/>
        <v>18676050</v>
      </c>
      <c r="AP5" s="19">
        <f t="shared" si="2"/>
        <v>-4267300</v>
      </c>
      <c r="AQ5" s="20">
        <f>AP5*70%</f>
        <v>-2987110</v>
      </c>
      <c r="AR5" s="21">
        <f t="shared" si="3"/>
        <v>0.7</v>
      </c>
      <c r="AS5" s="14">
        <v>8349</v>
      </c>
      <c r="AT5" s="22">
        <v>2550</v>
      </c>
      <c r="AU5" s="14">
        <v>142</v>
      </c>
      <c r="AV5" s="23">
        <f>SUM(AS5:AU5)-F5</f>
        <v>41</v>
      </c>
      <c r="AW5" s="24">
        <f>AT5/F5</f>
        <v>0.23181818181818181</v>
      </c>
      <c r="AX5" s="15">
        <f>G5/F5</f>
        <v>388.2</v>
      </c>
      <c r="AY5" s="15">
        <f>E5/D5</f>
        <v>284741.47727272729</v>
      </c>
      <c r="AZ5" s="15">
        <f>SUM(AI5+AG5)/SUM(AH5+AF5)</f>
        <v>2133.5070068271648</v>
      </c>
      <c r="BA5" s="13">
        <f>B5</f>
        <v>45621</v>
      </c>
      <c r="BB5" s="14">
        <f t="shared" si="4"/>
        <v>60</v>
      </c>
    </row>
    <row r="6" spans="1:54" x14ac:dyDescent="0.35">
      <c r="A6" s="12" t="s">
        <v>62</v>
      </c>
      <c r="B6" s="13">
        <v>45624</v>
      </c>
      <c r="C6" s="13">
        <v>45681</v>
      </c>
      <c r="D6" s="14">
        <v>50.5</v>
      </c>
      <c r="E6" s="15">
        <v>14478575</v>
      </c>
      <c r="F6" s="14">
        <v>12000</v>
      </c>
      <c r="G6" s="15">
        <v>4000800</v>
      </c>
      <c r="H6" s="14">
        <v>51</v>
      </c>
      <c r="I6" s="15">
        <v>247500</v>
      </c>
      <c r="J6" s="14"/>
      <c r="K6" s="15">
        <v>268800</v>
      </c>
      <c r="L6" s="14">
        <v>286</v>
      </c>
      <c r="M6" s="15">
        <v>1859000</v>
      </c>
      <c r="N6" s="15">
        <v>2296647</v>
      </c>
      <c r="O6" s="15">
        <v>200000</v>
      </c>
      <c r="P6" s="15">
        <v>38500</v>
      </c>
      <c r="Q6" s="15">
        <v>200000</v>
      </c>
      <c r="R6" s="15">
        <v>340000</v>
      </c>
      <c r="S6" s="15">
        <v>174000</v>
      </c>
      <c r="T6" s="15">
        <v>300000</v>
      </c>
      <c r="U6" s="15">
        <v>0</v>
      </c>
      <c r="V6" s="15">
        <v>0</v>
      </c>
      <c r="W6" s="15">
        <v>100000</v>
      </c>
      <c r="X6" s="15">
        <v>257475</v>
      </c>
      <c r="Y6" s="15">
        <v>111670</v>
      </c>
      <c r="Z6" s="15">
        <v>0</v>
      </c>
      <c r="AA6" s="15">
        <v>80000</v>
      </c>
      <c r="AB6" s="15">
        <v>54000</v>
      </c>
      <c r="AC6" s="15">
        <v>70000</v>
      </c>
      <c r="AD6" s="15">
        <f>25000+35000</f>
        <v>60000</v>
      </c>
      <c r="AE6" s="16">
        <f t="shared" si="0"/>
        <v>25136967</v>
      </c>
      <c r="AF6" s="17">
        <v>11167</v>
      </c>
      <c r="AG6" s="15">
        <v>22612450</v>
      </c>
      <c r="AH6" s="14">
        <v>0</v>
      </c>
      <c r="AI6" s="15">
        <v>0</v>
      </c>
      <c r="AJ6" s="15">
        <v>750000</v>
      </c>
      <c r="AK6" s="15">
        <v>252000</v>
      </c>
      <c r="AL6" s="15">
        <v>14000</v>
      </c>
      <c r="AM6" s="15">
        <v>3510</v>
      </c>
      <c r="AN6" s="15">
        <v>24000</v>
      </c>
      <c r="AO6" s="18">
        <f t="shared" si="1"/>
        <v>23655960</v>
      </c>
      <c r="AP6" s="19">
        <f t="shared" si="2"/>
        <v>-1481007</v>
      </c>
      <c r="AQ6" s="20">
        <v>-1110755.25</v>
      </c>
      <c r="AR6" s="21">
        <f t="shared" si="3"/>
        <v>0.75</v>
      </c>
      <c r="AS6" s="14">
        <v>11167</v>
      </c>
      <c r="AT6" s="22">
        <v>665</v>
      </c>
      <c r="AU6" s="14">
        <v>114</v>
      </c>
      <c r="AV6" s="23">
        <v>-54</v>
      </c>
      <c r="AW6" s="24">
        <v>5.541666666666667E-2</v>
      </c>
      <c r="AX6" s="15">
        <v>333.4</v>
      </c>
      <c r="AY6" s="15">
        <v>286704.45544554456</v>
      </c>
      <c r="AZ6" s="15">
        <v>2024.9350765648787</v>
      </c>
      <c r="BA6" s="13">
        <v>45624</v>
      </c>
      <c r="BB6" s="14">
        <f t="shared" si="4"/>
        <v>57</v>
      </c>
    </row>
    <row r="7" spans="1:54" x14ac:dyDescent="0.35">
      <c r="A7" s="12" t="s">
        <v>63</v>
      </c>
      <c r="B7" s="13">
        <v>45635</v>
      </c>
      <c r="C7" s="13">
        <v>45696</v>
      </c>
      <c r="D7" s="14">
        <v>58.5</v>
      </c>
      <c r="E7" s="15">
        <v>16254075</v>
      </c>
      <c r="F7" s="14">
        <v>13500</v>
      </c>
      <c r="G7" s="15">
        <v>3179280</v>
      </c>
      <c r="H7" s="14">
        <v>38</v>
      </c>
      <c r="I7" s="15">
        <v>192000</v>
      </c>
      <c r="J7" s="14"/>
      <c r="K7" s="15">
        <v>464000</v>
      </c>
      <c r="L7" s="14">
        <v>221</v>
      </c>
      <c r="M7" s="15">
        <v>1436500</v>
      </c>
      <c r="N7" s="15">
        <v>1882322</v>
      </c>
      <c r="O7" s="15">
        <v>203000</v>
      </c>
      <c r="P7" s="15">
        <v>68600</v>
      </c>
      <c r="Q7" s="15">
        <v>200000</v>
      </c>
      <c r="R7" s="15">
        <v>340000</v>
      </c>
      <c r="S7" s="15">
        <v>217000</v>
      </c>
      <c r="T7" s="15">
        <v>300000</v>
      </c>
      <c r="U7" s="15">
        <v>0</v>
      </c>
      <c r="V7" s="15">
        <v>100000</v>
      </c>
      <c r="W7" s="15">
        <v>50000</v>
      </c>
      <c r="X7" s="15">
        <v>299250</v>
      </c>
      <c r="Y7" s="15">
        <v>128860</v>
      </c>
      <c r="Z7" s="15">
        <v>47250</v>
      </c>
      <c r="AA7" s="15">
        <v>80000</v>
      </c>
      <c r="AB7" s="15">
        <v>10000</v>
      </c>
      <c r="AC7" s="15">
        <v>70000</v>
      </c>
      <c r="AD7" s="15">
        <f>12000+606.56</f>
        <v>12606.56</v>
      </c>
      <c r="AE7" s="16">
        <f t="shared" si="0"/>
        <v>25534743.559999999</v>
      </c>
      <c r="AF7" s="17">
        <v>12245</v>
      </c>
      <c r="AG7" s="15">
        <v>24788950</v>
      </c>
      <c r="AH7" s="14">
        <v>641</v>
      </c>
      <c r="AI7" s="15">
        <v>624810</v>
      </c>
      <c r="AJ7" s="15">
        <v>1000000</v>
      </c>
      <c r="AK7" s="15">
        <v>46500</v>
      </c>
      <c r="AL7" s="15">
        <v>0</v>
      </c>
      <c r="AM7" s="15">
        <v>16650</v>
      </c>
      <c r="AN7" s="15">
        <v>65000</v>
      </c>
      <c r="AO7" s="18">
        <f t="shared" si="1"/>
        <v>26541910</v>
      </c>
      <c r="AP7" s="19">
        <f t="shared" si="2"/>
        <v>1007166.4400000013</v>
      </c>
      <c r="AQ7" s="20">
        <v>503583.22</v>
      </c>
      <c r="AR7" s="21">
        <f t="shared" si="3"/>
        <v>0.49999999999999933</v>
      </c>
      <c r="AS7" s="14">
        <v>12886</v>
      </c>
      <c r="AT7" s="22">
        <v>503</v>
      </c>
      <c r="AU7" s="14">
        <v>114</v>
      </c>
      <c r="AV7" s="23">
        <v>3</v>
      </c>
      <c r="AW7" s="24">
        <v>3.7259259259259256E-2</v>
      </c>
      <c r="AX7" s="15">
        <v>235.50222222222223</v>
      </c>
      <c r="AY7" s="15">
        <v>277847.43589743588</v>
      </c>
      <c r="AZ7" s="15">
        <v>1972.1992860468727</v>
      </c>
      <c r="BA7" s="13">
        <v>45635</v>
      </c>
      <c r="BB7" s="14">
        <f t="shared" si="4"/>
        <v>61</v>
      </c>
    </row>
    <row r="8" spans="1:54" x14ac:dyDescent="0.35">
      <c r="A8" s="12" t="s">
        <v>64</v>
      </c>
      <c r="B8" s="13">
        <v>45638</v>
      </c>
      <c r="C8" s="13">
        <v>45703</v>
      </c>
      <c r="D8" s="14">
        <v>45.8</v>
      </c>
      <c r="E8" s="15">
        <v>13167325</v>
      </c>
      <c r="F8" s="14">
        <v>11000</v>
      </c>
      <c r="G8" s="15">
        <v>2589400</v>
      </c>
      <c r="H8" s="14">
        <v>34</v>
      </c>
      <c r="I8" s="15">
        <v>161000</v>
      </c>
      <c r="J8" s="14"/>
      <c r="K8" s="15">
        <v>352000</v>
      </c>
      <c r="L8" s="14">
        <v>199</v>
      </c>
      <c r="M8" s="15">
        <v>1293500</v>
      </c>
      <c r="N8" s="15">
        <v>3213142</v>
      </c>
      <c r="O8" s="15">
        <v>150500</v>
      </c>
      <c r="P8" s="15">
        <v>70000</v>
      </c>
      <c r="Q8" s="15">
        <v>200000</v>
      </c>
      <c r="R8" s="15">
        <v>340000</v>
      </c>
      <c r="S8" s="15">
        <v>231000</v>
      </c>
      <c r="T8" s="15">
        <v>290000</v>
      </c>
      <c r="U8" s="15">
        <v>0</v>
      </c>
      <c r="V8" s="15">
        <v>100000</v>
      </c>
      <c r="W8" s="15">
        <v>50000</v>
      </c>
      <c r="X8" s="15">
        <v>68900</v>
      </c>
      <c r="Y8" s="15">
        <v>79300</v>
      </c>
      <c r="Z8" s="15">
        <v>49000</v>
      </c>
      <c r="AA8" s="15">
        <v>80000</v>
      </c>
      <c r="AB8" s="15">
        <v>45000</v>
      </c>
      <c r="AC8" s="15">
        <v>70000</v>
      </c>
      <c r="AD8" s="15">
        <v>274300</v>
      </c>
      <c r="AE8" s="16">
        <f t="shared" si="0"/>
        <v>22874367</v>
      </c>
      <c r="AF8" s="17">
        <v>3099</v>
      </c>
      <c r="AG8" s="15">
        <v>4904800</v>
      </c>
      <c r="AH8" s="14">
        <v>4875</v>
      </c>
      <c r="AI8" s="15">
        <v>9366120</v>
      </c>
      <c r="AJ8" s="15">
        <v>749000</v>
      </c>
      <c r="AK8" s="15">
        <v>0</v>
      </c>
      <c r="AL8" s="15">
        <v>464600</v>
      </c>
      <c r="AM8" s="15">
        <v>345060</v>
      </c>
      <c r="AN8" s="15">
        <v>0</v>
      </c>
      <c r="AO8" s="18">
        <f t="shared" si="1"/>
        <v>15829580</v>
      </c>
      <c r="AP8" s="19">
        <f t="shared" si="2"/>
        <v>-7044787</v>
      </c>
      <c r="AQ8" s="20">
        <v>-4579111.55</v>
      </c>
      <c r="AR8" s="21">
        <f t="shared" si="3"/>
        <v>0.65</v>
      </c>
      <c r="AS8" s="14">
        <v>7974</v>
      </c>
      <c r="AT8" s="22">
        <v>2793</v>
      </c>
      <c r="AU8" s="14">
        <v>100</v>
      </c>
      <c r="AV8" s="23">
        <f>SUM(AS8:AU8)-F8</f>
        <v>-133</v>
      </c>
      <c r="AW8" s="24">
        <f>AT8/F8</f>
        <v>0.25390909090909092</v>
      </c>
      <c r="AX8" s="15">
        <f>G8/F8</f>
        <v>235.4</v>
      </c>
      <c r="AY8" s="15">
        <f>E8/D8</f>
        <v>287496.17903930135</v>
      </c>
      <c r="AZ8" s="15">
        <f>SUM(AI8+AG8)/SUM(AH8+AF8)</f>
        <v>1789.6814647604715</v>
      </c>
      <c r="BA8" s="13">
        <f>B8</f>
        <v>45638</v>
      </c>
      <c r="BB8" s="14">
        <f t="shared" si="4"/>
        <v>65</v>
      </c>
    </row>
    <row r="9" spans="1:54" x14ac:dyDescent="0.35">
      <c r="A9" s="12" t="s">
        <v>65</v>
      </c>
      <c r="B9" s="13">
        <v>45645</v>
      </c>
      <c r="C9" s="13">
        <v>45707</v>
      </c>
      <c r="D9" s="14">
        <v>37.35</v>
      </c>
      <c r="E9" s="15">
        <v>10696450</v>
      </c>
      <c r="F9" s="14">
        <v>11120</v>
      </c>
      <c r="G9" s="15">
        <v>2617740</v>
      </c>
      <c r="H9" s="14">
        <v>27</v>
      </c>
      <c r="I9" s="15">
        <v>135000</v>
      </c>
      <c r="J9" s="14"/>
      <c r="K9" s="15">
        <v>298800</v>
      </c>
      <c r="L9" s="14">
        <v>172</v>
      </c>
      <c r="M9" s="15">
        <v>1118000</v>
      </c>
      <c r="N9" s="15">
        <v>2597370</v>
      </c>
      <c r="O9" s="15">
        <v>177500</v>
      </c>
      <c r="P9" s="15">
        <v>95500</v>
      </c>
      <c r="Q9" s="15">
        <v>200000</v>
      </c>
      <c r="R9" s="15">
        <v>340000</v>
      </c>
      <c r="S9" s="15">
        <v>220500</v>
      </c>
      <c r="T9" s="15">
        <v>500000</v>
      </c>
      <c r="U9" s="15">
        <v>0</v>
      </c>
      <c r="V9" s="15">
        <v>100000</v>
      </c>
      <c r="W9" s="15">
        <v>50000</v>
      </c>
      <c r="X9" s="15">
        <v>132300</v>
      </c>
      <c r="Y9" s="15">
        <v>65690</v>
      </c>
      <c r="Z9" s="15">
        <v>0</v>
      </c>
      <c r="AA9" s="15">
        <v>80000</v>
      </c>
      <c r="AB9" s="15">
        <v>10000</v>
      </c>
      <c r="AC9" s="15">
        <v>70000</v>
      </c>
      <c r="AD9" s="15">
        <v>242650</v>
      </c>
      <c r="AE9" s="16">
        <f t="shared" si="0"/>
        <v>19747500</v>
      </c>
      <c r="AF9" s="17">
        <v>6137</v>
      </c>
      <c r="AG9" s="15">
        <v>13386900</v>
      </c>
      <c r="AH9" s="14">
        <v>432</v>
      </c>
      <c r="AI9" s="15">
        <v>729820</v>
      </c>
      <c r="AJ9" s="15">
        <v>600000</v>
      </c>
      <c r="AK9" s="15">
        <v>0</v>
      </c>
      <c r="AL9" s="15">
        <v>0</v>
      </c>
      <c r="AM9" s="15">
        <v>208755</v>
      </c>
      <c r="AN9" s="15">
        <v>0</v>
      </c>
      <c r="AO9" s="18">
        <f t="shared" si="1"/>
        <v>14925475</v>
      </c>
      <c r="AP9" s="19">
        <f t="shared" si="2"/>
        <v>-4822025</v>
      </c>
      <c r="AQ9" s="20">
        <f>AP9*75%</f>
        <v>-3616518.75</v>
      </c>
      <c r="AR9" s="21">
        <f t="shared" si="3"/>
        <v>0.75</v>
      </c>
      <c r="AS9" s="14">
        <v>6569</v>
      </c>
      <c r="AT9" s="22">
        <v>4419</v>
      </c>
      <c r="AU9" s="14">
        <v>121</v>
      </c>
      <c r="AV9" s="23">
        <v>-11</v>
      </c>
      <c r="AW9" s="24">
        <f>AT9/F9</f>
        <v>0.39739208633093526</v>
      </c>
      <c r="AX9" s="15">
        <f>G9/F9</f>
        <v>235.40827338129498</v>
      </c>
      <c r="AY9" s="15">
        <f>E9/D9</f>
        <v>286384.20348058903</v>
      </c>
      <c r="AZ9" s="15">
        <f>SUM(AI9+AG9)/SUM(AH9+AF9)</f>
        <v>2148.9907139595066</v>
      </c>
      <c r="BA9" s="13">
        <f>B9</f>
        <v>45645</v>
      </c>
      <c r="BB9" s="14">
        <f t="shared" si="4"/>
        <v>62</v>
      </c>
    </row>
    <row r="10" spans="1:54" x14ac:dyDescent="0.35">
      <c r="A10" s="12" t="s">
        <v>66</v>
      </c>
      <c r="B10" s="13">
        <v>45645</v>
      </c>
      <c r="C10" s="13">
        <v>45706</v>
      </c>
      <c r="D10" s="14">
        <v>55.7</v>
      </c>
      <c r="E10" s="15">
        <v>15606775</v>
      </c>
      <c r="F10" s="14">
        <v>12000</v>
      </c>
      <c r="G10" s="15">
        <v>3414200</v>
      </c>
      <c r="H10" s="14">
        <v>35</v>
      </c>
      <c r="I10" s="15">
        <v>167500</v>
      </c>
      <c r="J10" s="14"/>
      <c r="K10" s="15">
        <v>432000</v>
      </c>
      <c r="L10" s="14">
        <v>171</v>
      </c>
      <c r="M10" s="15">
        <v>1111500</v>
      </c>
      <c r="N10" s="15">
        <v>2104400</v>
      </c>
      <c r="O10" s="15">
        <v>192500</v>
      </c>
      <c r="P10" s="15">
        <v>48700</v>
      </c>
      <c r="Q10" s="15">
        <v>230000</v>
      </c>
      <c r="R10" s="15">
        <v>340000</v>
      </c>
      <c r="S10" s="15">
        <v>217000</v>
      </c>
      <c r="T10" s="15">
        <v>290000</v>
      </c>
      <c r="U10" s="15">
        <v>0</v>
      </c>
      <c r="V10" s="15">
        <v>100000</v>
      </c>
      <c r="W10" s="15">
        <v>0</v>
      </c>
      <c r="X10" s="15">
        <v>177425</v>
      </c>
      <c r="Y10" s="15">
        <v>114480</v>
      </c>
      <c r="Z10" s="15">
        <v>42000</v>
      </c>
      <c r="AA10" s="15">
        <v>80000</v>
      </c>
      <c r="AB10" s="15">
        <v>29500</v>
      </c>
      <c r="AC10" s="15">
        <v>70000</v>
      </c>
      <c r="AD10" s="15">
        <v>64000</v>
      </c>
      <c r="AE10" s="16">
        <f t="shared" si="0"/>
        <v>24831980</v>
      </c>
      <c r="AF10" s="17">
        <v>9590</v>
      </c>
      <c r="AG10" s="15">
        <v>18658350</v>
      </c>
      <c r="AH10" s="14">
        <v>1857</v>
      </c>
      <c r="AI10" s="15">
        <v>3276560</v>
      </c>
      <c r="AJ10" s="15">
        <v>900000</v>
      </c>
      <c r="AK10" s="15">
        <v>150000</v>
      </c>
      <c r="AL10" s="15">
        <v>238000</v>
      </c>
      <c r="AM10" s="15">
        <v>217440</v>
      </c>
      <c r="AN10" s="15">
        <v>240500</v>
      </c>
      <c r="AO10" s="18">
        <f t="shared" si="1"/>
        <v>23680850</v>
      </c>
      <c r="AP10" s="19">
        <f t="shared" si="2"/>
        <v>-1151130</v>
      </c>
      <c r="AQ10" s="20">
        <v>-575565</v>
      </c>
      <c r="AR10" s="21">
        <f t="shared" si="3"/>
        <v>0.5</v>
      </c>
      <c r="AS10" s="14">
        <v>11447</v>
      </c>
      <c r="AT10" s="22">
        <v>425</v>
      </c>
      <c r="AU10" s="14">
        <v>115</v>
      </c>
      <c r="AV10" s="23">
        <v>-13</v>
      </c>
      <c r="AW10" s="24">
        <v>3.5416666666666666E-2</v>
      </c>
      <c r="AX10" s="15">
        <v>284.51666666666665</v>
      </c>
      <c r="AY10" s="15">
        <v>280193.44703770196</v>
      </c>
      <c r="AZ10" s="15">
        <v>1916.2147287498908</v>
      </c>
      <c r="BA10" s="13">
        <v>45645</v>
      </c>
      <c r="BB10" s="14">
        <f t="shared" si="4"/>
        <v>61</v>
      </c>
    </row>
    <row r="11" spans="1:54" x14ac:dyDescent="0.35">
      <c r="A11" s="12" t="s">
        <v>67</v>
      </c>
      <c r="B11" s="13">
        <v>45649</v>
      </c>
      <c r="C11" s="13">
        <v>45708</v>
      </c>
      <c r="D11" s="14">
        <v>53</v>
      </c>
      <c r="E11" s="15">
        <v>15273313</v>
      </c>
      <c r="F11" s="14">
        <v>12000</v>
      </c>
      <c r="G11" s="15">
        <v>3178900</v>
      </c>
      <c r="H11" s="14">
        <v>40</v>
      </c>
      <c r="I11" s="15">
        <v>175000</v>
      </c>
      <c r="J11" s="14"/>
      <c r="K11" s="15">
        <f>64000+123500</f>
        <v>187500</v>
      </c>
      <c r="L11" s="14">
        <v>201</v>
      </c>
      <c r="M11" s="15">
        <v>1306500</v>
      </c>
      <c r="N11" s="15">
        <v>2221030</v>
      </c>
      <c r="O11" s="15">
        <v>208000</v>
      </c>
      <c r="P11" s="15">
        <v>87950</v>
      </c>
      <c r="Q11" s="15">
        <f>16500+136950+96665.61</f>
        <v>250115.61</v>
      </c>
      <c r="R11" s="15">
        <v>340000</v>
      </c>
      <c r="S11" s="15">
        <v>270000</v>
      </c>
      <c r="T11" s="15">
        <v>300000</v>
      </c>
      <c r="U11" s="15">
        <v>0</v>
      </c>
      <c r="V11" s="15">
        <v>70000</v>
      </c>
      <c r="W11" s="15">
        <v>50000</v>
      </c>
      <c r="X11" s="15">
        <v>209975</v>
      </c>
      <c r="Y11" s="15">
        <v>114620</v>
      </c>
      <c r="Z11" s="15">
        <v>42000</v>
      </c>
      <c r="AA11" s="15">
        <v>50000</v>
      </c>
      <c r="AB11" s="15">
        <v>64750</v>
      </c>
      <c r="AC11" s="15">
        <v>30000</v>
      </c>
      <c r="AD11" s="15">
        <f>10000+112813</f>
        <v>122813</v>
      </c>
      <c r="AE11" s="16">
        <f t="shared" si="0"/>
        <v>24552466.609999999</v>
      </c>
      <c r="AF11" s="17">
        <f>8399+408</f>
        <v>8807</v>
      </c>
      <c r="AG11" s="15">
        <f>16876200+784350</f>
        <v>17660550</v>
      </c>
      <c r="AH11" s="14">
        <v>2655</v>
      </c>
      <c r="AI11" s="15">
        <v>3339260</v>
      </c>
      <c r="AJ11" s="15">
        <v>700000</v>
      </c>
      <c r="AK11" s="15">
        <v>0</v>
      </c>
      <c r="AL11" s="15">
        <v>217000</v>
      </c>
      <c r="AM11" s="15">
        <v>57960</v>
      </c>
      <c r="AN11" s="15">
        <v>35500</v>
      </c>
      <c r="AO11" s="18">
        <f t="shared" si="1"/>
        <v>22010270</v>
      </c>
      <c r="AP11" s="19">
        <f t="shared" si="2"/>
        <v>-2542196.6099999994</v>
      </c>
      <c r="AQ11" s="20">
        <v>-2287976.9500000002</v>
      </c>
      <c r="AR11" s="21">
        <f t="shared" si="3"/>
        <v>0.90000000039336092</v>
      </c>
      <c r="AS11" s="14">
        <f>AF11+AH11</f>
        <v>11462</v>
      </c>
      <c r="AT11" s="22">
        <f>380+39</f>
        <v>419</v>
      </c>
      <c r="AU11" s="14">
        <v>111</v>
      </c>
      <c r="AV11" s="23">
        <f t="shared" ref="AV11:AV24" si="5">SUM(AS11:AU11)-F11</f>
        <v>-8</v>
      </c>
      <c r="AW11" s="24">
        <f t="shared" ref="AW11:AW25" si="6">AT11/F11</f>
        <v>3.4916666666666665E-2</v>
      </c>
      <c r="AX11" s="15">
        <f t="shared" ref="AX11:AX25" si="7">G11/F11</f>
        <v>264.90833333333336</v>
      </c>
      <c r="AY11" s="15">
        <f t="shared" ref="AY11:AY25" si="8">E11/D11</f>
        <v>288175.71698113205</v>
      </c>
      <c r="AZ11" s="15">
        <f t="shared" ref="AZ11:AZ25" si="9">SUM(AI11+AG11)/SUM(AH11+AF11)</f>
        <v>1832.1244110975397</v>
      </c>
      <c r="BA11" s="13">
        <f t="shared" ref="BA11:BA25" si="10">B11</f>
        <v>45649</v>
      </c>
      <c r="BB11" s="14">
        <f t="shared" si="4"/>
        <v>59</v>
      </c>
    </row>
    <row r="12" spans="1:54" x14ac:dyDescent="0.35">
      <c r="A12" s="12" t="s">
        <v>68</v>
      </c>
      <c r="B12" s="13">
        <v>45651</v>
      </c>
      <c r="C12" s="13">
        <v>45694</v>
      </c>
      <c r="D12" s="14">
        <v>41</v>
      </c>
      <c r="E12" s="15">
        <v>11628612.5</v>
      </c>
      <c r="F12" s="14">
        <v>10000</v>
      </c>
      <c r="G12" s="15">
        <v>3040000</v>
      </c>
      <c r="H12" s="14">
        <v>35</v>
      </c>
      <c r="I12" s="15">
        <v>175000</v>
      </c>
      <c r="J12" s="14"/>
      <c r="K12" s="15">
        <v>328000</v>
      </c>
      <c r="L12" s="14">
        <v>200</v>
      </c>
      <c r="M12" s="15">
        <v>1300000</v>
      </c>
      <c r="N12" s="15">
        <v>2722453</v>
      </c>
      <c r="O12" s="15">
        <v>141750</v>
      </c>
      <c r="P12" s="15">
        <v>93600</v>
      </c>
      <c r="Q12" s="15">
        <v>200000</v>
      </c>
      <c r="R12" s="15">
        <v>340000</v>
      </c>
      <c r="S12" s="15">
        <v>224000</v>
      </c>
      <c r="T12" s="15">
        <v>300000</v>
      </c>
      <c r="U12" s="15">
        <v>0</v>
      </c>
      <c r="V12" s="15">
        <v>100000</v>
      </c>
      <c r="W12" s="15">
        <v>50000</v>
      </c>
      <c r="X12" s="15">
        <v>145600</v>
      </c>
      <c r="Y12" s="15">
        <v>79660</v>
      </c>
      <c r="Z12" s="15">
        <v>35000</v>
      </c>
      <c r="AA12" s="15">
        <v>80000</v>
      </c>
      <c r="AB12" s="15">
        <v>37500</v>
      </c>
      <c r="AC12" s="15">
        <v>70000</v>
      </c>
      <c r="AD12" s="15">
        <v>39740</v>
      </c>
      <c r="AE12" s="16">
        <f t="shared" si="0"/>
        <v>21130915.5</v>
      </c>
      <c r="AF12" s="17">
        <v>6057</v>
      </c>
      <c r="AG12" s="15">
        <v>13013650</v>
      </c>
      <c r="AH12" s="14">
        <v>1909</v>
      </c>
      <c r="AI12" s="15">
        <v>2957590</v>
      </c>
      <c r="AJ12" s="15">
        <v>700000</v>
      </c>
      <c r="AK12" s="15">
        <v>45000</v>
      </c>
      <c r="AL12" s="15">
        <v>0</v>
      </c>
      <c r="AM12" s="15">
        <v>0</v>
      </c>
      <c r="AN12" s="15">
        <v>0</v>
      </c>
      <c r="AO12" s="18">
        <f t="shared" si="1"/>
        <v>16716240</v>
      </c>
      <c r="AP12" s="19">
        <f t="shared" si="2"/>
        <v>-4414675.5</v>
      </c>
      <c r="AQ12" s="20">
        <v>-2869539.0750000002</v>
      </c>
      <c r="AR12" s="21">
        <f t="shared" si="3"/>
        <v>0.65</v>
      </c>
      <c r="AS12" s="14">
        <v>7966</v>
      </c>
      <c r="AT12" s="22">
        <v>1901</v>
      </c>
      <c r="AU12" s="14">
        <v>100</v>
      </c>
      <c r="AV12" s="23">
        <f t="shared" si="5"/>
        <v>-33</v>
      </c>
      <c r="AW12" s="24">
        <f t="shared" si="6"/>
        <v>0.19009999999999999</v>
      </c>
      <c r="AX12" s="15">
        <f t="shared" si="7"/>
        <v>304</v>
      </c>
      <c r="AY12" s="15">
        <f t="shared" si="8"/>
        <v>283624.69512195123</v>
      </c>
      <c r="AZ12" s="15">
        <f t="shared" si="9"/>
        <v>2004.925935224705</v>
      </c>
      <c r="BA12" s="13">
        <f t="shared" si="10"/>
        <v>45651</v>
      </c>
      <c r="BB12" s="14">
        <f t="shared" si="4"/>
        <v>43</v>
      </c>
    </row>
    <row r="13" spans="1:54" x14ac:dyDescent="0.35">
      <c r="A13" s="12" t="s">
        <v>69</v>
      </c>
      <c r="B13" s="13">
        <v>45652</v>
      </c>
      <c r="C13" s="13">
        <v>45717</v>
      </c>
      <c r="D13" s="14">
        <v>55</v>
      </c>
      <c r="E13" s="15">
        <v>16357925</v>
      </c>
      <c r="F13" s="14">
        <v>14000</v>
      </c>
      <c r="G13" s="15">
        <v>3570000</v>
      </c>
      <c r="H13" s="14">
        <v>37</v>
      </c>
      <c r="I13" s="15">
        <v>165500</v>
      </c>
      <c r="J13" s="14"/>
      <c r="K13" s="15">
        <v>113500</v>
      </c>
      <c r="L13" s="14">
        <v>205</v>
      </c>
      <c r="M13" s="15">
        <v>1332500</v>
      </c>
      <c r="N13" s="15">
        <v>2308470</v>
      </c>
      <c r="O13" s="15">
        <v>192500</v>
      </c>
      <c r="P13" s="15">
        <v>65150</v>
      </c>
      <c r="Q13" s="15">
        <v>200000</v>
      </c>
      <c r="R13" s="15">
        <v>340000</v>
      </c>
      <c r="S13" s="15">
        <v>198000</v>
      </c>
      <c r="T13" s="15">
        <v>500000</v>
      </c>
      <c r="U13" s="15">
        <v>0</v>
      </c>
      <c r="V13" s="15">
        <v>0</v>
      </c>
      <c r="W13" s="15">
        <v>100000</v>
      </c>
      <c r="X13" s="15">
        <v>263525</v>
      </c>
      <c r="Y13" s="15">
        <v>0</v>
      </c>
      <c r="Z13" s="15">
        <v>49000</v>
      </c>
      <c r="AA13" s="15">
        <v>80000</v>
      </c>
      <c r="AB13" s="15">
        <v>10500</v>
      </c>
      <c r="AC13" s="15">
        <v>53000</v>
      </c>
      <c r="AD13" s="15">
        <v>32800</v>
      </c>
      <c r="AE13" s="16">
        <f t="shared" si="0"/>
        <v>25932370</v>
      </c>
      <c r="AF13" s="17">
        <f>10541+314</f>
        <v>10855</v>
      </c>
      <c r="AG13" s="15">
        <f>21443500+693000</f>
        <v>22136500</v>
      </c>
      <c r="AH13" s="14">
        <v>1908</v>
      </c>
      <c r="AI13" s="15">
        <v>2969370</v>
      </c>
      <c r="AJ13" s="15">
        <v>700000</v>
      </c>
      <c r="AK13" s="15">
        <v>0</v>
      </c>
      <c r="AL13" s="15">
        <v>182000</v>
      </c>
      <c r="AM13" s="15">
        <v>0</v>
      </c>
      <c r="AN13" s="15">
        <v>40800</v>
      </c>
      <c r="AO13" s="18">
        <f t="shared" si="1"/>
        <v>26028670</v>
      </c>
      <c r="AP13" s="19">
        <f t="shared" si="2"/>
        <v>96300</v>
      </c>
      <c r="AQ13" s="20">
        <f>AP13*100%</f>
        <v>96300</v>
      </c>
      <c r="AR13" s="21">
        <f t="shared" si="3"/>
        <v>1</v>
      </c>
      <c r="AS13" s="14">
        <f t="shared" ref="AS13:AS24" si="11">AF13+AH13</f>
        <v>12763</v>
      </c>
      <c r="AT13" s="25">
        <v>1085</v>
      </c>
      <c r="AU13" s="26">
        <v>129</v>
      </c>
      <c r="AV13" s="23">
        <f t="shared" si="5"/>
        <v>-23</v>
      </c>
      <c r="AW13" s="24">
        <f t="shared" si="6"/>
        <v>7.7499999999999999E-2</v>
      </c>
      <c r="AX13" s="15">
        <f t="shared" si="7"/>
        <v>255</v>
      </c>
      <c r="AY13" s="15">
        <f t="shared" si="8"/>
        <v>297416.81818181818</v>
      </c>
      <c r="AZ13" s="15">
        <f t="shared" si="9"/>
        <v>1967.082190707514</v>
      </c>
      <c r="BA13" s="13">
        <f t="shared" si="10"/>
        <v>45652</v>
      </c>
      <c r="BB13" s="14">
        <f t="shared" si="4"/>
        <v>65</v>
      </c>
    </row>
    <row r="14" spans="1:54" x14ac:dyDescent="0.35">
      <c r="A14" s="12" t="s">
        <v>70</v>
      </c>
      <c r="B14" s="13">
        <v>45656</v>
      </c>
      <c r="C14" s="13">
        <v>45723</v>
      </c>
      <c r="D14" s="14">
        <v>51</v>
      </c>
      <c r="E14" s="15">
        <v>14125875</v>
      </c>
      <c r="F14" s="14">
        <v>12670</v>
      </c>
      <c r="G14" s="15">
        <f>2483400+76000</f>
        <v>2559400</v>
      </c>
      <c r="H14" s="14">
        <v>37</v>
      </c>
      <c r="I14" s="15">
        <v>162500</v>
      </c>
      <c r="J14" s="14"/>
      <c r="K14" s="15">
        <v>180000</v>
      </c>
      <c r="L14" s="14">
        <v>270</v>
      </c>
      <c r="M14" s="15">
        <v>1755000</v>
      </c>
      <c r="N14" s="15">
        <v>2551849</v>
      </c>
      <c r="O14" s="15">
        <v>153000</v>
      </c>
      <c r="P14" s="15">
        <v>84350</v>
      </c>
      <c r="Q14" s="15">
        <v>200000</v>
      </c>
      <c r="R14" s="15">
        <v>340000</v>
      </c>
      <c r="S14" s="15">
        <v>204000</v>
      </c>
      <c r="T14" s="15">
        <v>300000</v>
      </c>
      <c r="U14" s="15">
        <v>0</v>
      </c>
      <c r="V14" s="15">
        <v>100000</v>
      </c>
      <c r="W14" s="15">
        <v>50000</v>
      </c>
      <c r="X14" s="15">
        <v>206400</v>
      </c>
      <c r="Y14" s="15">
        <v>113880</v>
      </c>
      <c r="Z14" s="15">
        <v>44100</v>
      </c>
      <c r="AA14" s="15">
        <v>80000</v>
      </c>
      <c r="AB14" s="15">
        <v>24000</v>
      </c>
      <c r="AC14" s="15">
        <v>70000</v>
      </c>
      <c r="AD14" s="15">
        <v>31600</v>
      </c>
      <c r="AE14" s="16">
        <f t="shared" si="0"/>
        <v>23335954</v>
      </c>
      <c r="AF14" s="17">
        <f>8256+784</f>
        <v>9040</v>
      </c>
      <c r="AG14" s="15">
        <f>15738750+1513850</f>
        <v>17252600</v>
      </c>
      <c r="AH14" s="14">
        <v>2348</v>
      </c>
      <c r="AI14" s="15">
        <v>4888400</v>
      </c>
      <c r="AJ14" s="15">
        <v>600000</v>
      </c>
      <c r="AK14" s="15">
        <v>0</v>
      </c>
      <c r="AL14" s="15">
        <v>56000</v>
      </c>
      <c r="AM14" s="15">
        <v>67090</v>
      </c>
      <c r="AN14" s="15">
        <v>96000</v>
      </c>
      <c r="AO14" s="18">
        <f t="shared" si="1"/>
        <v>22960090</v>
      </c>
      <c r="AP14" s="19">
        <f t="shared" si="2"/>
        <v>-375864</v>
      </c>
      <c r="AQ14" s="20">
        <f>AP14*75%</f>
        <v>-281898</v>
      </c>
      <c r="AR14" s="21">
        <f t="shared" si="3"/>
        <v>0.75</v>
      </c>
      <c r="AS14" s="14">
        <f t="shared" si="11"/>
        <v>11388</v>
      </c>
      <c r="AT14" s="22">
        <v>1160</v>
      </c>
      <c r="AU14" s="14">
        <v>137</v>
      </c>
      <c r="AV14" s="23">
        <f t="shared" si="5"/>
        <v>15</v>
      </c>
      <c r="AW14" s="24">
        <f t="shared" si="6"/>
        <v>9.1554853985793216E-2</v>
      </c>
      <c r="AX14" s="15">
        <f t="shared" si="7"/>
        <v>202.00473559589582</v>
      </c>
      <c r="AY14" s="15">
        <f t="shared" si="8"/>
        <v>276977.9411764706</v>
      </c>
      <c r="AZ14" s="15">
        <f t="shared" si="9"/>
        <v>1944.2395504039339</v>
      </c>
      <c r="BA14" s="13">
        <f t="shared" si="10"/>
        <v>45656</v>
      </c>
      <c r="BB14" s="14">
        <f t="shared" si="4"/>
        <v>67</v>
      </c>
    </row>
    <row r="15" spans="1:54" x14ac:dyDescent="0.35">
      <c r="A15" s="12" t="s">
        <v>71</v>
      </c>
      <c r="B15" s="13">
        <v>45659</v>
      </c>
      <c r="C15" s="13">
        <v>45719</v>
      </c>
      <c r="D15" s="14">
        <v>44</v>
      </c>
      <c r="E15" s="15">
        <v>12652913</v>
      </c>
      <c r="F15" s="14">
        <v>10000</v>
      </c>
      <c r="G15" s="15">
        <v>2550000</v>
      </c>
      <c r="H15" s="14">
        <v>45</v>
      </c>
      <c r="I15" s="15">
        <v>187500</v>
      </c>
      <c r="J15" s="14"/>
      <c r="K15" s="15">
        <v>124500</v>
      </c>
      <c r="L15" s="14">
        <v>239</v>
      </c>
      <c r="M15" s="15">
        <v>1553500</v>
      </c>
      <c r="N15" s="15">
        <v>2692485</v>
      </c>
      <c r="O15" s="15">
        <v>176000</v>
      </c>
      <c r="P15" s="15">
        <v>31350</v>
      </c>
      <c r="Q15" s="15">
        <f>131250+156667</f>
        <v>287917</v>
      </c>
      <c r="R15" s="15">
        <v>340000</v>
      </c>
      <c r="S15" s="15">
        <v>183000</v>
      </c>
      <c r="T15" s="15">
        <v>300000</v>
      </c>
      <c r="U15" s="15">
        <v>0</v>
      </c>
      <c r="V15" s="15">
        <v>70000</v>
      </c>
      <c r="W15" s="15">
        <v>50000</v>
      </c>
      <c r="X15" s="15">
        <v>164450</v>
      </c>
      <c r="Y15" s="15">
        <v>89930</v>
      </c>
      <c r="Z15" s="15">
        <v>35000</v>
      </c>
      <c r="AA15" s="15">
        <v>50000</v>
      </c>
      <c r="AB15" s="15">
        <v>26250</v>
      </c>
      <c r="AC15" s="15">
        <v>30000</v>
      </c>
      <c r="AD15" s="15">
        <f>45607.06+16500</f>
        <v>62107.06</v>
      </c>
      <c r="AE15" s="16">
        <f t="shared" si="0"/>
        <v>21656902.059999999</v>
      </c>
      <c r="AF15" s="17">
        <f>6578+259</f>
        <v>6837</v>
      </c>
      <c r="AG15" s="15">
        <f>13274900+491200</f>
        <v>13766100</v>
      </c>
      <c r="AH15" s="14">
        <v>2223</v>
      </c>
      <c r="AI15" s="15">
        <v>4685110</v>
      </c>
      <c r="AJ15" s="15">
        <v>550000</v>
      </c>
      <c r="AK15" s="15">
        <v>0</v>
      </c>
      <c r="AL15" s="15">
        <v>182000</v>
      </c>
      <c r="AM15" s="15">
        <v>37530</v>
      </c>
      <c r="AN15" s="15">
        <v>30000</v>
      </c>
      <c r="AO15" s="18">
        <f t="shared" si="1"/>
        <v>19250740</v>
      </c>
      <c r="AP15" s="19">
        <f t="shared" si="2"/>
        <v>-2406162.0599999987</v>
      </c>
      <c r="AQ15" s="20">
        <v>-2165545</v>
      </c>
      <c r="AR15" s="21">
        <f t="shared" si="3"/>
        <v>0.89999964507793839</v>
      </c>
      <c r="AS15" s="14">
        <f t="shared" si="11"/>
        <v>9060</v>
      </c>
      <c r="AT15" s="22">
        <v>848</v>
      </c>
      <c r="AU15" s="14">
        <v>87</v>
      </c>
      <c r="AV15" s="23">
        <f t="shared" si="5"/>
        <v>-5</v>
      </c>
      <c r="AW15" s="24">
        <f t="shared" si="6"/>
        <v>8.48E-2</v>
      </c>
      <c r="AX15" s="15">
        <f t="shared" si="7"/>
        <v>255</v>
      </c>
      <c r="AY15" s="15">
        <f t="shared" si="8"/>
        <v>287566.20454545453</v>
      </c>
      <c r="AZ15" s="15">
        <f t="shared" si="9"/>
        <v>2036.5573951434878</v>
      </c>
      <c r="BA15" s="13">
        <f t="shared" si="10"/>
        <v>45659</v>
      </c>
      <c r="BB15" s="14">
        <f t="shared" si="4"/>
        <v>60</v>
      </c>
    </row>
    <row r="16" spans="1:54" x14ac:dyDescent="0.35">
      <c r="A16" s="12" t="s">
        <v>72</v>
      </c>
      <c r="B16" s="13">
        <v>45665</v>
      </c>
      <c r="C16" s="13">
        <v>45727</v>
      </c>
      <c r="D16" s="14">
        <v>52</v>
      </c>
      <c r="E16" s="15">
        <v>14646945</v>
      </c>
      <c r="F16" s="14">
        <v>11500</v>
      </c>
      <c r="G16" s="15">
        <v>2932500</v>
      </c>
      <c r="H16" s="14">
        <v>37</v>
      </c>
      <c r="I16" s="15">
        <v>152000</v>
      </c>
      <c r="J16" s="14"/>
      <c r="K16" s="15">
        <v>400000</v>
      </c>
      <c r="L16" s="14">
        <v>182</v>
      </c>
      <c r="M16" s="15">
        <v>1183000</v>
      </c>
      <c r="N16" s="15">
        <v>2377080</v>
      </c>
      <c r="O16" s="15">
        <v>260000</v>
      </c>
      <c r="P16" s="15">
        <v>31000</v>
      </c>
      <c r="Q16" s="15">
        <v>200000</v>
      </c>
      <c r="R16" s="15">
        <v>340000</v>
      </c>
      <c r="S16" s="15">
        <v>189000</v>
      </c>
      <c r="T16" s="15">
        <v>250000</v>
      </c>
      <c r="U16" s="15">
        <v>0</v>
      </c>
      <c r="V16" s="15">
        <v>100000</v>
      </c>
      <c r="W16" s="15">
        <v>50000</v>
      </c>
      <c r="X16" s="15">
        <v>233700</v>
      </c>
      <c r="Y16" s="15">
        <v>108762</v>
      </c>
      <c r="Z16" s="15">
        <v>40250</v>
      </c>
      <c r="AA16" s="15">
        <v>80000</v>
      </c>
      <c r="AB16" s="15">
        <v>12250</v>
      </c>
      <c r="AC16" s="15">
        <v>70000</v>
      </c>
      <c r="AD16" s="15">
        <f>10000+13000+115000+1345.49</f>
        <v>139345.49</v>
      </c>
      <c r="AE16" s="16">
        <f t="shared" si="0"/>
        <v>23795832.489999998</v>
      </c>
      <c r="AF16" s="17">
        <f>9348+781</f>
        <v>10129</v>
      </c>
      <c r="AG16" s="15">
        <f>18498250+1861600</f>
        <v>20359850</v>
      </c>
      <c r="AH16" s="14">
        <v>828</v>
      </c>
      <c r="AI16" s="15">
        <v>1787180</v>
      </c>
      <c r="AJ16" s="15">
        <v>550000</v>
      </c>
      <c r="AK16" s="15">
        <v>0</v>
      </c>
      <c r="AL16" s="15">
        <f>112000+154000+140000</f>
        <v>406000</v>
      </c>
      <c r="AM16" s="15">
        <f>54000+55200</f>
        <v>109200</v>
      </c>
      <c r="AN16" s="15">
        <v>102250</v>
      </c>
      <c r="AO16" s="18">
        <f t="shared" si="1"/>
        <v>23314480</v>
      </c>
      <c r="AP16" s="19">
        <f t="shared" si="2"/>
        <v>-481352.48999999836</v>
      </c>
      <c r="AQ16" s="20">
        <f>AP16*75%</f>
        <v>-361014.36749999877</v>
      </c>
      <c r="AR16" s="21">
        <f t="shared" si="3"/>
        <v>0.75</v>
      </c>
      <c r="AS16" s="14">
        <f t="shared" si="11"/>
        <v>10957</v>
      </c>
      <c r="AT16" s="22">
        <v>416</v>
      </c>
      <c r="AU16" s="14">
        <v>107</v>
      </c>
      <c r="AV16" s="23">
        <f t="shared" si="5"/>
        <v>-20</v>
      </c>
      <c r="AW16" s="24">
        <f t="shared" si="6"/>
        <v>3.6173913043478258E-2</v>
      </c>
      <c r="AX16" s="15">
        <f t="shared" si="7"/>
        <v>255</v>
      </c>
      <c r="AY16" s="15">
        <f t="shared" si="8"/>
        <v>281672.01923076925</v>
      </c>
      <c r="AZ16" s="15">
        <f t="shared" si="9"/>
        <v>2021.2676827598796</v>
      </c>
      <c r="BA16" s="13">
        <f t="shared" si="10"/>
        <v>45665</v>
      </c>
      <c r="BB16" s="14">
        <f t="shared" si="4"/>
        <v>62</v>
      </c>
    </row>
    <row r="17" spans="1:54" x14ac:dyDescent="0.35">
      <c r="A17" s="12" t="s">
        <v>73</v>
      </c>
      <c r="B17" s="13">
        <v>45672</v>
      </c>
      <c r="C17" s="13">
        <v>45736</v>
      </c>
      <c r="D17" s="14">
        <v>45</v>
      </c>
      <c r="E17" s="15">
        <v>12754850</v>
      </c>
      <c r="F17" s="14">
        <v>10000</v>
      </c>
      <c r="G17" s="15">
        <v>3334000</v>
      </c>
      <c r="H17" s="14">
        <v>34</v>
      </c>
      <c r="I17" s="15">
        <v>147500</v>
      </c>
      <c r="J17" s="14"/>
      <c r="K17" s="15">
        <v>336000</v>
      </c>
      <c r="L17" s="14">
        <v>162</v>
      </c>
      <c r="M17" s="15">
        <v>1053000</v>
      </c>
      <c r="N17" s="15">
        <v>2666392</v>
      </c>
      <c r="O17" s="15">
        <v>157500</v>
      </c>
      <c r="P17" s="15">
        <v>66500</v>
      </c>
      <c r="Q17" s="15">
        <v>200000</v>
      </c>
      <c r="R17" s="15">
        <v>340000</v>
      </c>
      <c r="S17" s="15">
        <v>186000</v>
      </c>
      <c r="T17" s="15">
        <v>250000</v>
      </c>
      <c r="U17" s="15">
        <v>0</v>
      </c>
      <c r="V17" s="15">
        <v>100000</v>
      </c>
      <c r="W17" s="15">
        <v>50000</v>
      </c>
      <c r="X17" s="15">
        <v>59400</v>
      </c>
      <c r="Y17" s="15">
        <v>74730</v>
      </c>
      <c r="Z17" s="15">
        <v>35000</v>
      </c>
      <c r="AA17" s="15">
        <v>80000</v>
      </c>
      <c r="AB17" s="15">
        <v>10000</v>
      </c>
      <c r="AC17" s="15">
        <v>70000</v>
      </c>
      <c r="AD17" s="15">
        <v>606.55999999999995</v>
      </c>
      <c r="AE17" s="16">
        <f t="shared" si="0"/>
        <v>21971478.559999999</v>
      </c>
      <c r="AF17" s="17">
        <v>2571</v>
      </c>
      <c r="AG17" s="15">
        <v>3890300</v>
      </c>
      <c r="AH17" s="14">
        <v>4922</v>
      </c>
      <c r="AI17" s="15">
        <v>8446850</v>
      </c>
      <c r="AJ17" s="15">
        <v>449000</v>
      </c>
      <c r="AK17" s="15">
        <v>0</v>
      </c>
      <c r="AL17" s="15">
        <v>796743</v>
      </c>
      <c r="AM17" s="15">
        <v>0</v>
      </c>
      <c r="AN17" s="15">
        <v>0</v>
      </c>
      <c r="AO17" s="18">
        <f t="shared" si="1"/>
        <v>13582893</v>
      </c>
      <c r="AP17" s="19">
        <f t="shared" si="2"/>
        <v>-8388585.5599999987</v>
      </c>
      <c r="AQ17" s="20">
        <f>AP17*75%</f>
        <v>-6291439.169999999</v>
      </c>
      <c r="AR17" s="21">
        <f t="shared" si="3"/>
        <v>0.75</v>
      </c>
      <c r="AS17" s="14">
        <f t="shared" si="11"/>
        <v>7493</v>
      </c>
      <c r="AT17" s="22">
        <v>2344</v>
      </c>
      <c r="AU17" s="14">
        <v>115</v>
      </c>
      <c r="AV17" s="23">
        <f t="shared" si="5"/>
        <v>-48</v>
      </c>
      <c r="AW17" s="24">
        <f t="shared" si="6"/>
        <v>0.2344</v>
      </c>
      <c r="AX17" s="15">
        <f t="shared" si="7"/>
        <v>333.4</v>
      </c>
      <c r="AY17" s="15">
        <f t="shared" si="8"/>
        <v>283441.11111111112</v>
      </c>
      <c r="AZ17" s="15">
        <f t="shared" si="9"/>
        <v>1646.4900573868945</v>
      </c>
      <c r="BA17" s="13">
        <f t="shared" si="10"/>
        <v>45672</v>
      </c>
      <c r="BB17" s="14">
        <f t="shared" si="4"/>
        <v>64</v>
      </c>
    </row>
    <row r="18" spans="1:54" x14ac:dyDescent="0.35">
      <c r="A18" s="12" t="s">
        <v>74</v>
      </c>
      <c r="B18" s="13">
        <v>45677</v>
      </c>
      <c r="C18" s="13">
        <v>45739</v>
      </c>
      <c r="D18" s="14">
        <v>40.25</v>
      </c>
      <c r="E18" s="15">
        <v>11285807</v>
      </c>
      <c r="F18" s="14">
        <v>9525</v>
      </c>
      <c r="G18" s="15">
        <v>4017210</v>
      </c>
      <c r="H18" s="14">
        <v>26</v>
      </c>
      <c r="I18" s="15">
        <v>115000</v>
      </c>
      <c r="J18" s="14"/>
      <c r="K18" s="15">
        <v>320000</v>
      </c>
      <c r="L18" s="14">
        <v>260</v>
      </c>
      <c r="M18" s="15">
        <v>975000</v>
      </c>
      <c r="N18" s="15">
        <v>2062650</v>
      </c>
      <c r="O18" s="15">
        <v>140000</v>
      </c>
      <c r="P18" s="15">
        <v>76500</v>
      </c>
      <c r="Q18" s="15">
        <v>200000</v>
      </c>
      <c r="R18" s="15">
        <v>340000</v>
      </c>
      <c r="S18" s="15">
        <v>189000</v>
      </c>
      <c r="T18" s="15">
        <v>250000</v>
      </c>
      <c r="U18" s="15">
        <v>40000</v>
      </c>
      <c r="V18" s="15">
        <v>100000</v>
      </c>
      <c r="W18" s="15">
        <v>50000</v>
      </c>
      <c r="X18" s="15">
        <v>127550</v>
      </c>
      <c r="Y18" s="15">
        <v>73560</v>
      </c>
      <c r="Z18" s="15">
        <v>33250</v>
      </c>
      <c r="AA18" s="15">
        <v>80000</v>
      </c>
      <c r="AB18" s="15">
        <v>8750</v>
      </c>
      <c r="AC18" s="15">
        <v>70000</v>
      </c>
      <c r="AD18" s="15">
        <v>2706.65</v>
      </c>
      <c r="AE18" s="16">
        <f t="shared" si="0"/>
        <v>20556983.649999999</v>
      </c>
      <c r="AF18" s="17">
        <f>5102+238+15+18</f>
        <v>5373</v>
      </c>
      <c r="AG18" s="15">
        <f>11296600+492500+73500</f>
        <v>11862600</v>
      </c>
      <c r="AH18" s="14">
        <v>1949</v>
      </c>
      <c r="AI18" s="15">
        <v>3201590</v>
      </c>
      <c r="AJ18" s="15">
        <v>370000</v>
      </c>
      <c r="AK18" s="15">
        <v>0</v>
      </c>
      <c r="AL18" s="15">
        <v>0</v>
      </c>
      <c r="AM18" s="15">
        <v>0</v>
      </c>
      <c r="AN18" s="15">
        <v>0</v>
      </c>
      <c r="AO18" s="18">
        <f t="shared" si="1"/>
        <v>15434190</v>
      </c>
      <c r="AP18" s="19">
        <f t="shared" si="2"/>
        <v>-5122793.6499999985</v>
      </c>
      <c r="AQ18" s="20">
        <f>AP18*65%</f>
        <v>-3329815.8724999991</v>
      </c>
      <c r="AR18" s="21">
        <f t="shared" si="3"/>
        <v>0.65</v>
      </c>
      <c r="AS18" s="14">
        <f t="shared" si="11"/>
        <v>7322</v>
      </c>
      <c r="AT18" s="22">
        <v>2068</v>
      </c>
      <c r="AU18" s="14">
        <v>100</v>
      </c>
      <c r="AV18" s="23">
        <f t="shared" si="5"/>
        <v>-35</v>
      </c>
      <c r="AW18" s="24">
        <f t="shared" si="6"/>
        <v>0.21711286089238846</v>
      </c>
      <c r="AX18" s="15">
        <f t="shared" si="7"/>
        <v>421.75433070866143</v>
      </c>
      <c r="AY18" s="15">
        <f t="shared" si="8"/>
        <v>280392.72049689438</v>
      </c>
      <c r="AZ18" s="15">
        <f t="shared" si="9"/>
        <v>2057.3873258672493</v>
      </c>
      <c r="BA18" s="13">
        <f t="shared" si="10"/>
        <v>45677</v>
      </c>
      <c r="BB18" s="14">
        <f t="shared" si="4"/>
        <v>62</v>
      </c>
    </row>
    <row r="19" spans="1:54" x14ac:dyDescent="0.35">
      <c r="A19" s="12" t="s">
        <v>75</v>
      </c>
      <c r="B19" s="13">
        <v>45680</v>
      </c>
      <c r="C19" s="13">
        <v>45737</v>
      </c>
      <c r="D19" s="14">
        <v>52</v>
      </c>
      <c r="E19" s="15">
        <v>14648200</v>
      </c>
      <c r="F19" s="14">
        <v>11500</v>
      </c>
      <c r="G19" s="15">
        <v>5414250</v>
      </c>
      <c r="H19" s="14">
        <v>50</v>
      </c>
      <c r="I19" s="15">
        <v>150000</v>
      </c>
      <c r="J19" s="14"/>
      <c r="K19" s="15">
        <v>400000</v>
      </c>
      <c r="L19" s="14">
        <v>128</v>
      </c>
      <c r="M19" s="15">
        <v>832000</v>
      </c>
      <c r="N19" s="15">
        <v>2427730</v>
      </c>
      <c r="O19" s="15">
        <v>180250</v>
      </c>
      <c r="P19" s="15">
        <v>53200</v>
      </c>
      <c r="Q19" s="15">
        <v>230000</v>
      </c>
      <c r="R19" s="15">
        <v>340000</v>
      </c>
      <c r="S19" s="15">
        <v>203000</v>
      </c>
      <c r="T19" s="15">
        <v>250000</v>
      </c>
      <c r="U19" s="15">
        <v>40000</v>
      </c>
      <c r="V19" s="15">
        <v>100000</v>
      </c>
      <c r="W19" s="15">
        <v>0</v>
      </c>
      <c r="X19" s="15">
        <v>188275</v>
      </c>
      <c r="Y19" s="15">
        <v>107280</v>
      </c>
      <c r="Z19" s="15">
        <v>40250</v>
      </c>
      <c r="AA19" s="15">
        <v>80000</v>
      </c>
      <c r="AB19" s="15">
        <v>0</v>
      </c>
      <c r="AC19" s="15">
        <v>70000</v>
      </c>
      <c r="AD19" s="15">
        <v>0</v>
      </c>
      <c r="AE19" s="16">
        <f t="shared" si="0"/>
        <v>25754435</v>
      </c>
      <c r="AF19" s="17">
        <f>7541+2238</f>
        <v>9779</v>
      </c>
      <c r="AG19" s="15">
        <f>17339850+3612250</f>
        <v>20952100</v>
      </c>
      <c r="AH19" s="14">
        <v>1007</v>
      </c>
      <c r="AI19" s="15">
        <v>1717380</v>
      </c>
      <c r="AJ19" s="15">
        <v>600000</v>
      </c>
      <c r="AK19" s="15">
        <v>0</v>
      </c>
      <c r="AL19" s="15">
        <v>700000</v>
      </c>
      <c r="AM19" s="15">
        <v>431010</v>
      </c>
      <c r="AN19" s="15">
        <v>110500</v>
      </c>
      <c r="AO19" s="18">
        <f t="shared" si="1"/>
        <v>24510990</v>
      </c>
      <c r="AP19" s="19">
        <f t="shared" si="2"/>
        <v>-1243445</v>
      </c>
      <c r="AQ19" s="20">
        <f>AP19*50%</f>
        <v>-621722.5</v>
      </c>
      <c r="AR19" s="21">
        <f t="shared" si="3"/>
        <v>0.5</v>
      </c>
      <c r="AS19" s="14">
        <f t="shared" si="11"/>
        <v>10786</v>
      </c>
      <c r="AT19" s="22">
        <v>668</v>
      </c>
      <c r="AU19" s="14">
        <v>105</v>
      </c>
      <c r="AV19" s="23">
        <f t="shared" si="5"/>
        <v>59</v>
      </c>
      <c r="AW19" s="24">
        <f t="shared" si="6"/>
        <v>5.8086956521739133E-2</v>
      </c>
      <c r="AX19" s="15">
        <f t="shared" si="7"/>
        <v>470.80434782608694</v>
      </c>
      <c r="AY19" s="15">
        <f t="shared" si="8"/>
        <v>281696.15384615387</v>
      </c>
      <c r="AZ19" s="15">
        <f t="shared" si="9"/>
        <v>2101.7504172074914</v>
      </c>
      <c r="BA19" s="13">
        <f t="shared" si="10"/>
        <v>45680</v>
      </c>
      <c r="BB19" s="14">
        <f t="shared" si="4"/>
        <v>57</v>
      </c>
    </row>
    <row r="20" spans="1:54" x14ac:dyDescent="0.35">
      <c r="A20" s="12" t="s">
        <v>76</v>
      </c>
      <c r="B20" s="13">
        <v>45680</v>
      </c>
      <c r="C20" s="13">
        <v>45737</v>
      </c>
      <c r="D20" s="14">
        <v>55</v>
      </c>
      <c r="E20" s="15">
        <v>15400225</v>
      </c>
      <c r="F20" s="14">
        <v>13056</v>
      </c>
      <c r="G20" s="15">
        <v>5954560</v>
      </c>
      <c r="H20" s="14">
        <v>40</v>
      </c>
      <c r="I20" s="15">
        <v>200000</v>
      </c>
      <c r="J20" s="14"/>
      <c r="K20" s="15">
        <v>465000</v>
      </c>
      <c r="L20" s="14">
        <v>126</v>
      </c>
      <c r="M20" s="15">
        <v>819000</v>
      </c>
      <c r="N20" s="15">
        <v>2649710</v>
      </c>
      <c r="O20" s="15">
        <v>275000</v>
      </c>
      <c r="P20" s="15">
        <f>183600+4971.15</f>
        <v>188571.15</v>
      </c>
      <c r="Q20" s="15">
        <v>200000</v>
      </c>
      <c r="R20" s="15">
        <v>340000</v>
      </c>
      <c r="S20" s="15">
        <v>174000</v>
      </c>
      <c r="T20" s="15">
        <v>450000</v>
      </c>
      <c r="U20" s="15">
        <v>0</v>
      </c>
      <c r="V20" s="15">
        <v>100000</v>
      </c>
      <c r="W20" s="15">
        <v>50000</v>
      </c>
      <c r="X20" s="15">
        <v>163425</v>
      </c>
      <c r="Y20" s="15">
        <v>120090</v>
      </c>
      <c r="Z20" s="15">
        <v>43050</v>
      </c>
      <c r="AA20" s="15">
        <v>80000</v>
      </c>
      <c r="AB20" s="15">
        <v>0</v>
      </c>
      <c r="AC20" s="15">
        <f>40000+69000</f>
        <v>109000</v>
      </c>
      <c r="AD20" s="15">
        <v>0</v>
      </c>
      <c r="AE20" s="16">
        <f t="shared" si="0"/>
        <v>27781631.149999999</v>
      </c>
      <c r="AF20" s="17">
        <f>6537+628</f>
        <v>7165</v>
      </c>
      <c r="AG20" s="15">
        <f>14548650+1177500</f>
        <v>15726150</v>
      </c>
      <c r="AH20" s="14">
        <v>4781</v>
      </c>
      <c r="AI20" s="15">
        <v>8186760</v>
      </c>
      <c r="AJ20" s="15">
        <v>530000</v>
      </c>
      <c r="AK20" s="15">
        <v>0</v>
      </c>
      <c r="AL20" s="15">
        <v>658000</v>
      </c>
      <c r="AM20" s="15">
        <v>71730</v>
      </c>
      <c r="AN20" s="15">
        <f>13000+84500</f>
        <v>97500</v>
      </c>
      <c r="AO20" s="18">
        <f t="shared" si="1"/>
        <v>25270140</v>
      </c>
      <c r="AP20" s="19">
        <f t="shared" si="2"/>
        <v>-2511491.1499999985</v>
      </c>
      <c r="AQ20" s="20">
        <v>-1758043.85</v>
      </c>
      <c r="AR20" s="21">
        <f t="shared" si="3"/>
        <v>0.70000001791764277</v>
      </c>
      <c r="AS20" s="14">
        <f t="shared" si="11"/>
        <v>11946</v>
      </c>
      <c r="AT20" s="22">
        <f>934+22</f>
        <v>956</v>
      </c>
      <c r="AU20" s="14">
        <v>150</v>
      </c>
      <c r="AV20" s="23">
        <f t="shared" si="5"/>
        <v>-4</v>
      </c>
      <c r="AW20" s="24">
        <f t="shared" si="6"/>
        <v>7.3223039215686278E-2</v>
      </c>
      <c r="AX20" s="15">
        <f t="shared" si="7"/>
        <v>456.07843137254901</v>
      </c>
      <c r="AY20" s="15">
        <f t="shared" si="8"/>
        <v>280004.09090909088</v>
      </c>
      <c r="AZ20" s="15">
        <f t="shared" si="9"/>
        <v>2001.7503766951281</v>
      </c>
      <c r="BA20" s="13">
        <f t="shared" si="10"/>
        <v>45680</v>
      </c>
      <c r="BB20" s="14">
        <f t="shared" si="4"/>
        <v>57</v>
      </c>
    </row>
    <row r="21" spans="1:54" x14ac:dyDescent="0.35">
      <c r="A21" s="12" t="s">
        <v>77</v>
      </c>
      <c r="B21" s="13">
        <v>45683</v>
      </c>
      <c r="C21" s="13">
        <v>45747</v>
      </c>
      <c r="D21" s="14">
        <v>120</v>
      </c>
      <c r="E21" s="15">
        <v>33757850</v>
      </c>
      <c r="F21" s="14">
        <v>31943</v>
      </c>
      <c r="G21" s="15">
        <v>15310490</v>
      </c>
      <c r="H21" s="14">
        <v>80</v>
      </c>
      <c r="I21" s="15">
        <v>420000</v>
      </c>
      <c r="J21" s="14"/>
      <c r="K21" s="15">
        <v>1065000</v>
      </c>
      <c r="L21" s="14">
        <v>435</v>
      </c>
      <c r="M21" s="15">
        <v>2827500</v>
      </c>
      <c r="N21" s="15">
        <v>5630427</v>
      </c>
      <c r="O21" s="15">
        <v>720000</v>
      </c>
      <c r="P21" s="15">
        <f>60900+220000</f>
        <v>280900</v>
      </c>
      <c r="Q21" s="15">
        <v>683000</v>
      </c>
      <c r="R21" s="15">
        <v>850000</v>
      </c>
      <c r="S21" s="15">
        <v>527500</v>
      </c>
      <c r="T21" s="15">
        <v>1000000</v>
      </c>
      <c r="U21" s="15">
        <v>0</v>
      </c>
      <c r="V21" s="15">
        <v>200000</v>
      </c>
      <c r="W21" s="15">
        <v>0</v>
      </c>
      <c r="X21" s="15">
        <v>0</v>
      </c>
      <c r="Y21" s="15">
        <v>0</v>
      </c>
      <c r="Z21" s="15">
        <v>0</v>
      </c>
      <c r="AA21" s="15">
        <v>200000</v>
      </c>
      <c r="AB21" s="15">
        <v>0</v>
      </c>
      <c r="AC21" s="15">
        <v>200000</v>
      </c>
      <c r="AD21" s="15">
        <f>18000+71000+242900</f>
        <v>331900</v>
      </c>
      <c r="AE21" s="16">
        <f t="shared" si="0"/>
        <v>64004567</v>
      </c>
      <c r="AF21" s="17">
        <v>5697</v>
      </c>
      <c r="AG21" s="15">
        <v>11656650</v>
      </c>
      <c r="AH21" s="14">
        <v>23720</v>
      </c>
      <c r="AI21" s="15">
        <v>43359628</v>
      </c>
      <c r="AJ21" s="15">
        <v>1200000</v>
      </c>
      <c r="AK21" s="15">
        <v>174350</v>
      </c>
      <c r="AL21" s="15">
        <f>140437.5+357112.5</f>
        <v>497550</v>
      </c>
      <c r="AM21" s="15">
        <v>581596.64</v>
      </c>
      <c r="AN21" s="15">
        <v>0</v>
      </c>
      <c r="AO21" s="18">
        <f t="shared" si="1"/>
        <v>57469774.640000001</v>
      </c>
      <c r="AP21" s="19">
        <f t="shared" si="2"/>
        <v>-6534792.3599999994</v>
      </c>
      <c r="AQ21" s="20">
        <f>AP21*62.5%</f>
        <v>-4084245.2249999996</v>
      </c>
      <c r="AR21" s="21">
        <f t="shared" si="3"/>
        <v>0.625</v>
      </c>
      <c r="AS21" s="14">
        <f t="shared" si="11"/>
        <v>29417</v>
      </c>
      <c r="AT21" s="25">
        <v>2387</v>
      </c>
      <c r="AU21" s="26">
        <v>100</v>
      </c>
      <c r="AV21" s="23">
        <f t="shared" si="5"/>
        <v>-39</v>
      </c>
      <c r="AW21" s="24">
        <f t="shared" si="6"/>
        <v>7.4726857214413175E-2</v>
      </c>
      <c r="AX21" s="15">
        <f t="shared" si="7"/>
        <v>479.30657734088845</v>
      </c>
      <c r="AY21" s="15">
        <f t="shared" si="8"/>
        <v>281315.41666666669</v>
      </c>
      <c r="AZ21" s="15">
        <f t="shared" si="9"/>
        <v>1870.220552741612</v>
      </c>
      <c r="BA21" s="13">
        <f t="shared" si="10"/>
        <v>45683</v>
      </c>
      <c r="BB21" s="14">
        <f t="shared" si="4"/>
        <v>64</v>
      </c>
    </row>
    <row r="22" spans="1:54" x14ac:dyDescent="0.35">
      <c r="A22" s="12" t="s">
        <v>78</v>
      </c>
      <c r="B22" s="13">
        <v>45686</v>
      </c>
      <c r="C22" s="13">
        <v>45743</v>
      </c>
      <c r="D22" s="14">
        <v>47</v>
      </c>
      <c r="E22" s="15">
        <v>13131825</v>
      </c>
      <c r="F22" s="14">
        <v>11100</v>
      </c>
      <c r="G22" s="15">
        <v>5443670</v>
      </c>
      <c r="H22" s="14">
        <v>29</v>
      </c>
      <c r="I22" s="15">
        <v>145000</v>
      </c>
      <c r="J22" s="14"/>
      <c r="K22" s="15">
        <v>230000</v>
      </c>
      <c r="L22" s="14">
        <v>112</v>
      </c>
      <c r="M22" s="15">
        <v>728000</v>
      </c>
      <c r="N22" s="15">
        <v>2295192</v>
      </c>
      <c r="O22" s="15">
        <v>164500</v>
      </c>
      <c r="P22" s="15">
        <v>56750</v>
      </c>
      <c r="Q22" s="15">
        <v>200000</v>
      </c>
      <c r="R22" s="15">
        <v>340000</v>
      </c>
      <c r="S22" s="15">
        <v>171000</v>
      </c>
      <c r="T22" s="15">
        <v>250000</v>
      </c>
      <c r="U22" s="15">
        <v>40000</v>
      </c>
      <c r="V22" s="15">
        <v>100000</v>
      </c>
      <c r="W22" s="15">
        <v>50000</v>
      </c>
      <c r="X22" s="15">
        <v>146450</v>
      </c>
      <c r="Y22" s="15">
        <v>96260</v>
      </c>
      <c r="Z22" s="15">
        <v>0</v>
      </c>
      <c r="AA22" s="15">
        <v>80000</v>
      </c>
      <c r="AB22" s="15">
        <v>8750</v>
      </c>
      <c r="AC22" s="15">
        <v>70000</v>
      </c>
      <c r="AD22" s="15">
        <f>20000+17606.56+65700</f>
        <v>103306.56</v>
      </c>
      <c r="AE22" s="16">
        <f t="shared" si="0"/>
        <v>23850703.559999999</v>
      </c>
      <c r="AF22" s="17">
        <v>6921</v>
      </c>
      <c r="AG22" s="15">
        <v>13709550</v>
      </c>
      <c r="AH22" s="14">
        <v>2880</v>
      </c>
      <c r="AI22" s="15">
        <v>4859000</v>
      </c>
      <c r="AJ22" s="15">
        <v>419000</v>
      </c>
      <c r="AK22" s="15">
        <v>0</v>
      </c>
      <c r="AL22" s="15">
        <f>280000+500657</f>
        <v>780657</v>
      </c>
      <c r="AM22" s="15">
        <v>0</v>
      </c>
      <c r="AN22" s="15">
        <v>10000</v>
      </c>
      <c r="AO22" s="18">
        <f t="shared" si="1"/>
        <v>19778207</v>
      </c>
      <c r="AP22" s="19">
        <f t="shared" si="2"/>
        <v>-4072496.5599999987</v>
      </c>
      <c r="AQ22" s="20">
        <f>AP22*70%</f>
        <v>-2850747.5919999988</v>
      </c>
      <c r="AR22" s="21">
        <f t="shared" si="3"/>
        <v>0.7</v>
      </c>
      <c r="AS22" s="14">
        <f t="shared" si="11"/>
        <v>9801</v>
      </c>
      <c r="AT22" s="22">
        <v>1158</v>
      </c>
      <c r="AU22" s="14">
        <v>100</v>
      </c>
      <c r="AV22" s="23">
        <f t="shared" si="5"/>
        <v>-41</v>
      </c>
      <c r="AW22" s="24">
        <f t="shared" si="6"/>
        <v>0.10432432432432433</v>
      </c>
      <c r="AX22" s="15">
        <f t="shared" si="7"/>
        <v>490.42072072072074</v>
      </c>
      <c r="AY22" s="15">
        <f t="shared" si="8"/>
        <v>279400.5319148936</v>
      </c>
      <c r="AZ22" s="15">
        <f t="shared" si="9"/>
        <v>1894.5566778900113</v>
      </c>
      <c r="BA22" s="13">
        <f t="shared" si="10"/>
        <v>45686</v>
      </c>
      <c r="BB22" s="14">
        <f t="shared" si="4"/>
        <v>57</v>
      </c>
    </row>
    <row r="23" spans="1:54" x14ac:dyDescent="0.35">
      <c r="A23" s="12" t="s">
        <v>79</v>
      </c>
      <c r="B23" s="13">
        <v>45693</v>
      </c>
      <c r="C23" s="13">
        <v>45748</v>
      </c>
      <c r="D23" s="14">
        <v>46</v>
      </c>
      <c r="E23" s="15">
        <v>13316050</v>
      </c>
      <c r="F23" s="14">
        <v>12000</v>
      </c>
      <c r="G23" s="15">
        <v>4000800</v>
      </c>
      <c r="H23" s="14">
        <v>28</v>
      </c>
      <c r="I23" s="15">
        <v>140000</v>
      </c>
      <c r="J23" s="14"/>
      <c r="K23" s="15">
        <v>352000</v>
      </c>
      <c r="L23" s="14">
        <v>88</v>
      </c>
      <c r="M23" s="15">
        <v>572000</v>
      </c>
      <c r="N23" s="15">
        <v>2341120</v>
      </c>
      <c r="O23" s="15">
        <v>230000</v>
      </c>
      <c r="P23" s="15">
        <v>51000</v>
      </c>
      <c r="Q23" s="15">
        <v>200000</v>
      </c>
      <c r="R23" s="15">
        <v>340000</v>
      </c>
      <c r="S23" s="15">
        <v>165000</v>
      </c>
      <c r="T23" s="15">
        <v>250000</v>
      </c>
      <c r="U23" s="15">
        <v>0</v>
      </c>
      <c r="V23" s="15">
        <v>100000</v>
      </c>
      <c r="W23" s="15">
        <v>50000</v>
      </c>
      <c r="X23" s="15">
        <v>115600</v>
      </c>
      <c r="Y23" s="15">
        <v>108170</v>
      </c>
      <c r="Z23" s="15">
        <v>42000</v>
      </c>
      <c r="AA23" s="15">
        <v>80000</v>
      </c>
      <c r="AB23" s="15">
        <v>0</v>
      </c>
      <c r="AC23" s="15">
        <v>70000</v>
      </c>
      <c r="AD23" s="15">
        <v>471.15</v>
      </c>
      <c r="AE23" s="16">
        <f t="shared" si="0"/>
        <v>22524211.149999999</v>
      </c>
      <c r="AF23" s="17">
        <v>5908</v>
      </c>
      <c r="AG23" s="15">
        <v>8399300</v>
      </c>
      <c r="AH23" s="14">
        <v>4909</v>
      </c>
      <c r="AI23" s="15">
        <v>10223780</v>
      </c>
      <c r="AJ23" s="15">
        <v>420000</v>
      </c>
      <c r="AK23" s="15">
        <v>0</v>
      </c>
      <c r="AL23" s="15">
        <f>555700+527915</f>
        <v>1083615</v>
      </c>
      <c r="AM23" s="15">
        <f>174510+30780</f>
        <v>205290</v>
      </c>
      <c r="AN23" s="15">
        <v>0</v>
      </c>
      <c r="AO23" s="18">
        <f t="shared" si="1"/>
        <v>20331985</v>
      </c>
      <c r="AP23" s="19">
        <f t="shared" si="2"/>
        <v>-2192226.1499999985</v>
      </c>
      <c r="AQ23" s="20">
        <f>AP23*75%</f>
        <v>-1644169.6124999989</v>
      </c>
      <c r="AR23" s="21">
        <f t="shared" si="3"/>
        <v>0.75</v>
      </c>
      <c r="AS23" s="14">
        <f t="shared" si="11"/>
        <v>10817</v>
      </c>
      <c r="AT23" s="22">
        <v>1060</v>
      </c>
      <c r="AU23" s="14">
        <v>100</v>
      </c>
      <c r="AV23" s="23">
        <f t="shared" si="5"/>
        <v>-23</v>
      </c>
      <c r="AW23" s="24">
        <f t="shared" si="6"/>
        <v>8.8333333333333333E-2</v>
      </c>
      <c r="AX23" s="15">
        <f t="shared" si="7"/>
        <v>333.4</v>
      </c>
      <c r="AY23" s="15">
        <f t="shared" si="8"/>
        <v>289479.34782608697</v>
      </c>
      <c r="AZ23" s="15">
        <f t="shared" si="9"/>
        <v>1721.6492558010539</v>
      </c>
      <c r="BA23" s="13">
        <f t="shared" si="10"/>
        <v>45693</v>
      </c>
      <c r="BB23" s="14">
        <f t="shared" si="4"/>
        <v>55</v>
      </c>
    </row>
    <row r="24" spans="1:54" x14ac:dyDescent="0.35">
      <c r="A24" s="12" t="s">
        <v>80</v>
      </c>
      <c r="B24" s="13">
        <v>45693</v>
      </c>
      <c r="C24" s="13">
        <v>45752</v>
      </c>
      <c r="D24" s="14">
        <v>50</v>
      </c>
      <c r="E24" s="15">
        <v>14279825</v>
      </c>
      <c r="F24" s="14">
        <v>12000</v>
      </c>
      <c r="G24" s="15">
        <v>4473050</v>
      </c>
      <c r="H24" s="14">
        <v>54</v>
      </c>
      <c r="I24" s="15">
        <v>270000</v>
      </c>
      <c r="J24" s="14"/>
      <c r="K24" s="15">
        <v>78000</v>
      </c>
      <c r="L24" s="14">
        <v>183</v>
      </c>
      <c r="M24" s="15">
        <v>1189500</v>
      </c>
      <c r="N24" s="15">
        <v>2648813</v>
      </c>
      <c r="O24" s="15">
        <v>200000</v>
      </c>
      <c r="P24" s="15">
        <v>88900</v>
      </c>
      <c r="Q24" s="15">
        <v>230000</v>
      </c>
      <c r="R24" s="15">
        <v>340000</v>
      </c>
      <c r="S24" s="15">
        <v>177000</v>
      </c>
      <c r="T24" s="15">
        <v>300000</v>
      </c>
      <c r="U24" s="15">
        <v>0</v>
      </c>
      <c r="V24" s="15">
        <v>100000</v>
      </c>
      <c r="W24" s="15">
        <v>50000</v>
      </c>
      <c r="X24" s="15">
        <v>127225</v>
      </c>
      <c r="Y24" s="15">
        <v>108950</v>
      </c>
      <c r="Z24" s="15">
        <v>42000</v>
      </c>
      <c r="AA24" s="15">
        <v>140000</v>
      </c>
      <c r="AB24" s="15">
        <v>0</v>
      </c>
      <c r="AC24" s="15">
        <v>40000</v>
      </c>
      <c r="AD24" s="15">
        <v>57777.7</v>
      </c>
      <c r="AE24" s="16">
        <f t="shared" si="0"/>
        <v>24941040.699999999</v>
      </c>
      <c r="AF24" s="17">
        <v>6110</v>
      </c>
      <c r="AG24" s="15">
        <v>10717100</v>
      </c>
      <c r="AH24" s="14">
        <v>4785</v>
      </c>
      <c r="AI24" s="15">
        <v>9564700</v>
      </c>
      <c r="AJ24" s="15">
        <v>439650</v>
      </c>
      <c r="AK24" s="15">
        <v>0</v>
      </c>
      <c r="AL24" s="15">
        <v>830550</v>
      </c>
      <c r="AM24" s="15">
        <v>55422</v>
      </c>
      <c r="AN24" s="15">
        <v>62000</v>
      </c>
      <c r="AO24" s="18">
        <f t="shared" si="1"/>
        <v>21669422</v>
      </c>
      <c r="AP24" s="19">
        <f t="shared" si="2"/>
        <v>-3271618.6999999993</v>
      </c>
      <c r="AQ24" s="20">
        <f>AP24*50%</f>
        <v>-1635809.3499999996</v>
      </c>
      <c r="AR24" s="21">
        <f t="shared" si="3"/>
        <v>0.5</v>
      </c>
      <c r="AS24" s="14">
        <f t="shared" si="11"/>
        <v>10895</v>
      </c>
      <c r="AT24" s="22">
        <v>962</v>
      </c>
      <c r="AU24" s="14">
        <v>131</v>
      </c>
      <c r="AV24" s="23">
        <f t="shared" si="5"/>
        <v>-12</v>
      </c>
      <c r="AW24" s="24">
        <f t="shared" si="6"/>
        <v>8.0166666666666664E-2</v>
      </c>
      <c r="AX24" s="15">
        <f t="shared" si="7"/>
        <v>372.75416666666666</v>
      </c>
      <c r="AY24" s="15">
        <f t="shared" si="8"/>
        <v>285596.5</v>
      </c>
      <c r="AZ24" s="15">
        <f t="shared" si="9"/>
        <v>1861.5695273061037</v>
      </c>
      <c r="BA24" s="13">
        <f t="shared" si="10"/>
        <v>45693</v>
      </c>
      <c r="BB24" s="14">
        <f t="shared" si="4"/>
        <v>59</v>
      </c>
    </row>
    <row r="25" spans="1:54" x14ac:dyDescent="0.35">
      <c r="A25" s="12" t="s">
        <v>61</v>
      </c>
      <c r="B25" s="13">
        <v>45701</v>
      </c>
      <c r="C25" s="13">
        <v>45757</v>
      </c>
      <c r="D25" s="14">
        <v>41.75</v>
      </c>
      <c r="E25" s="15">
        <v>11671757</v>
      </c>
      <c r="F25" s="14">
        <v>10000</v>
      </c>
      <c r="G25" s="15">
        <v>3138000</v>
      </c>
      <c r="H25" s="14">
        <v>30</v>
      </c>
      <c r="I25" s="15">
        <v>150000</v>
      </c>
      <c r="J25" s="14"/>
      <c r="K25" s="15">
        <v>320000</v>
      </c>
      <c r="L25" s="14">
        <v>108</v>
      </c>
      <c r="M25" s="15">
        <v>702000</v>
      </c>
      <c r="N25" s="15">
        <v>1966483</v>
      </c>
      <c r="O25" s="15">
        <v>140000</v>
      </c>
      <c r="P25" s="15">
        <v>38350</v>
      </c>
      <c r="Q25" s="15">
        <v>200000</v>
      </c>
      <c r="R25" s="15">
        <v>340000</v>
      </c>
      <c r="S25" s="15">
        <v>171000</v>
      </c>
      <c r="T25" s="15">
        <v>300000</v>
      </c>
      <c r="U25" s="15">
        <v>0</v>
      </c>
      <c r="V25" s="15">
        <v>100000</v>
      </c>
      <c r="W25" s="15">
        <v>50000</v>
      </c>
      <c r="X25" s="15">
        <v>113575</v>
      </c>
      <c r="Y25" s="15">
        <v>92100</v>
      </c>
      <c r="Z25" s="15">
        <v>34650</v>
      </c>
      <c r="AA25" s="15">
        <v>80000</v>
      </c>
      <c r="AB25" s="15">
        <v>0</v>
      </c>
      <c r="AC25" s="15">
        <v>70000</v>
      </c>
      <c r="AD25" s="15">
        <v>23900</v>
      </c>
      <c r="AE25" s="16">
        <f t="shared" si="0"/>
        <v>19701815</v>
      </c>
      <c r="AF25" s="17">
        <v>4602</v>
      </c>
      <c r="AG25" s="15">
        <v>6895250</v>
      </c>
      <c r="AH25" s="14">
        <v>4385</v>
      </c>
      <c r="AI25" s="15">
        <v>9714130</v>
      </c>
      <c r="AJ25" s="15">
        <v>398600</v>
      </c>
      <c r="AK25" s="15">
        <v>49000</v>
      </c>
      <c r="AL25" s="15">
        <v>486352</v>
      </c>
      <c r="AM25" s="15">
        <v>37818</v>
      </c>
      <c r="AN25" s="15">
        <v>30000</v>
      </c>
      <c r="AO25" s="18">
        <f t="shared" si="1"/>
        <v>17611150</v>
      </c>
      <c r="AP25" s="19">
        <f t="shared" si="2"/>
        <v>-2090665</v>
      </c>
      <c r="AQ25" s="20">
        <f>AP25*70%</f>
        <v>-1463465.5</v>
      </c>
      <c r="AR25" s="21">
        <f t="shared" si="3"/>
        <v>0.7</v>
      </c>
      <c r="AS25" s="14">
        <v>8987</v>
      </c>
      <c r="AT25" s="22">
        <v>699</v>
      </c>
      <c r="AU25" s="14">
        <v>210</v>
      </c>
      <c r="AV25" s="23">
        <v>-104</v>
      </c>
      <c r="AW25" s="24">
        <f t="shared" si="6"/>
        <v>6.9900000000000004E-2</v>
      </c>
      <c r="AX25" s="15">
        <f t="shared" si="7"/>
        <v>313.8</v>
      </c>
      <c r="AY25" s="15">
        <f t="shared" si="8"/>
        <v>279563.04191616765</v>
      </c>
      <c r="AZ25" s="15">
        <f t="shared" si="9"/>
        <v>1848.1562256592856</v>
      </c>
      <c r="BA25" s="13">
        <f t="shared" si="10"/>
        <v>45701</v>
      </c>
      <c r="BB25" s="14">
        <f t="shared" si="4"/>
        <v>56</v>
      </c>
    </row>
    <row r="26" spans="1:54" x14ac:dyDescent="0.35">
      <c r="A26" s="12" t="s">
        <v>81</v>
      </c>
      <c r="B26" s="13">
        <v>45705</v>
      </c>
      <c r="C26" s="13">
        <v>45764</v>
      </c>
      <c r="D26" s="14">
        <v>43.1</v>
      </c>
      <c r="E26" s="15">
        <v>12280625</v>
      </c>
      <c r="F26" s="14">
        <v>14093</v>
      </c>
      <c r="G26" s="15">
        <v>4700540</v>
      </c>
      <c r="H26" s="14">
        <v>44</v>
      </c>
      <c r="I26" s="15">
        <v>220000</v>
      </c>
      <c r="J26" s="14"/>
      <c r="K26" s="15">
        <v>252000</v>
      </c>
      <c r="L26" s="14">
        <v>152</v>
      </c>
      <c r="M26" s="15">
        <v>988000</v>
      </c>
      <c r="N26" s="15">
        <v>2336995</v>
      </c>
      <c r="O26" s="15">
        <v>170000</v>
      </c>
      <c r="P26" s="15">
        <v>62700</v>
      </c>
      <c r="Q26" s="15">
        <v>200000</v>
      </c>
      <c r="R26" s="15">
        <v>340000</v>
      </c>
      <c r="S26" s="15">
        <v>180000</v>
      </c>
      <c r="T26" s="15">
        <v>400000</v>
      </c>
      <c r="U26" s="15">
        <v>0</v>
      </c>
      <c r="V26" s="15">
        <v>0</v>
      </c>
      <c r="W26" s="15">
        <v>100000</v>
      </c>
      <c r="X26" s="15">
        <v>196250</v>
      </c>
      <c r="Y26" s="15">
        <v>49000</v>
      </c>
      <c r="Z26" s="15">
        <v>86500</v>
      </c>
      <c r="AA26" s="15">
        <v>80000</v>
      </c>
      <c r="AB26" s="15">
        <v>12000</v>
      </c>
      <c r="AC26" s="15">
        <v>14000</v>
      </c>
      <c r="AD26" s="15">
        <v>0</v>
      </c>
      <c r="AE26" s="16">
        <f t="shared" si="0"/>
        <v>22668610</v>
      </c>
      <c r="AF26" s="17">
        <v>9053</v>
      </c>
      <c r="AG26" s="15">
        <v>19542850</v>
      </c>
      <c r="AH26" s="14">
        <v>406</v>
      </c>
      <c r="AI26" s="15">
        <v>688660</v>
      </c>
      <c r="AJ26" s="15">
        <v>420000</v>
      </c>
      <c r="AK26" s="15">
        <v>0</v>
      </c>
      <c r="AL26" s="15">
        <v>0</v>
      </c>
      <c r="AM26" s="15">
        <v>0</v>
      </c>
      <c r="AN26" s="15">
        <v>18000</v>
      </c>
      <c r="AO26" s="18">
        <f t="shared" si="1"/>
        <v>20669510</v>
      </c>
      <c r="AP26" s="19">
        <f t="shared" si="2"/>
        <v>-1999100</v>
      </c>
      <c r="AQ26" s="20">
        <v>-1999100</v>
      </c>
      <c r="AR26" s="21">
        <f t="shared" si="3"/>
        <v>1</v>
      </c>
      <c r="AS26" s="14">
        <v>9459</v>
      </c>
      <c r="AT26" s="22">
        <v>4485</v>
      </c>
      <c r="AU26" s="14">
        <v>110</v>
      </c>
      <c r="AV26" s="23">
        <v>-39</v>
      </c>
      <c r="AW26" s="24">
        <v>0.31824309941105511</v>
      </c>
      <c r="AX26" s="15">
        <v>333.53721705811398</v>
      </c>
      <c r="AY26" s="15">
        <v>284933.29466357309</v>
      </c>
      <c r="AZ26" s="15">
        <v>2138.8635162279311</v>
      </c>
      <c r="BA26" s="13">
        <v>45705</v>
      </c>
      <c r="BB26" s="14">
        <f t="shared" si="4"/>
        <v>59</v>
      </c>
    </row>
    <row r="27" spans="1:54" x14ac:dyDescent="0.35">
      <c r="A27" s="12" t="s">
        <v>82</v>
      </c>
      <c r="B27" s="13">
        <v>45707</v>
      </c>
      <c r="C27" s="13">
        <v>45771</v>
      </c>
      <c r="D27" s="14">
        <v>43.3</v>
      </c>
      <c r="E27" s="15">
        <v>12163825</v>
      </c>
      <c r="F27" s="14">
        <v>11000</v>
      </c>
      <c r="G27" s="15">
        <v>3451800</v>
      </c>
      <c r="H27" s="14">
        <v>25</v>
      </c>
      <c r="I27" s="15">
        <v>125000</v>
      </c>
      <c r="J27" s="14"/>
      <c r="K27" s="15">
        <v>356000</v>
      </c>
      <c r="L27" s="14">
        <v>121</v>
      </c>
      <c r="M27" s="15">
        <v>786500</v>
      </c>
      <c r="N27" s="15">
        <v>2515962</v>
      </c>
      <c r="O27" s="15">
        <v>197500</v>
      </c>
      <c r="P27" s="15">
        <v>46250</v>
      </c>
      <c r="Q27" s="15">
        <v>200000</v>
      </c>
      <c r="R27" s="15">
        <v>340000</v>
      </c>
      <c r="S27" s="15">
        <v>177000</v>
      </c>
      <c r="T27" s="15">
        <v>250000</v>
      </c>
      <c r="U27" s="15">
        <v>0</v>
      </c>
      <c r="V27" s="15">
        <v>100000</v>
      </c>
      <c r="W27" s="15">
        <v>50000</v>
      </c>
      <c r="X27" s="15">
        <v>193225</v>
      </c>
      <c r="Y27" s="15">
        <v>100450</v>
      </c>
      <c r="Z27" s="15">
        <v>38500</v>
      </c>
      <c r="AA27" s="15">
        <v>80000</v>
      </c>
      <c r="AB27" s="15">
        <v>0</v>
      </c>
      <c r="AC27" s="15">
        <v>70000</v>
      </c>
      <c r="AD27" s="15">
        <f>124077.7+10000</f>
        <v>134077.70000000001</v>
      </c>
      <c r="AE27" s="16">
        <f t="shared" si="0"/>
        <v>21376089.699999999</v>
      </c>
      <c r="AF27" s="17">
        <v>8186</v>
      </c>
      <c r="AG27" s="15">
        <v>14697550</v>
      </c>
      <c r="AH27" s="14">
        <v>1859</v>
      </c>
      <c r="AI27" s="15">
        <v>3378720</v>
      </c>
      <c r="AJ27" s="15">
        <v>400000</v>
      </c>
      <c r="AK27" s="15">
        <v>0</v>
      </c>
      <c r="AL27" s="15">
        <v>336000</v>
      </c>
      <c r="AM27" s="15">
        <v>0</v>
      </c>
      <c r="AN27" s="15">
        <v>26000</v>
      </c>
      <c r="AO27" s="18">
        <f t="shared" si="1"/>
        <v>18838270</v>
      </c>
      <c r="AP27" s="19">
        <f t="shared" si="2"/>
        <v>-2537819.6999999993</v>
      </c>
      <c r="AQ27" s="20">
        <f>AP27*75%</f>
        <v>-1903364.7749999994</v>
      </c>
      <c r="AR27" s="21">
        <f t="shared" si="3"/>
        <v>0.75</v>
      </c>
      <c r="AS27" s="14">
        <f>AF27+AH27</f>
        <v>10045</v>
      </c>
      <c r="AT27" s="22">
        <v>848</v>
      </c>
      <c r="AU27" s="14">
        <v>94</v>
      </c>
      <c r="AV27" s="23">
        <f>SUM(AS27:AU27)-F27</f>
        <v>-13</v>
      </c>
      <c r="AW27" s="24">
        <f>AT27/F27</f>
        <v>7.7090909090909085E-2</v>
      </c>
      <c r="AX27" s="15">
        <f>G27/F27</f>
        <v>313.8</v>
      </c>
      <c r="AY27" s="15">
        <f>E27/D27</f>
        <v>280919.74595842959</v>
      </c>
      <c r="AZ27" s="15">
        <f>SUM(AI27+AG27)/SUM(AH27+AF27)</f>
        <v>1799.5291189646591</v>
      </c>
      <c r="BA27" s="13">
        <f>B27</f>
        <v>45707</v>
      </c>
      <c r="BB27" s="14">
        <f t="shared" si="4"/>
        <v>64</v>
      </c>
    </row>
    <row r="28" spans="1:54" x14ac:dyDescent="0.35">
      <c r="A28" s="12" t="s">
        <v>62</v>
      </c>
      <c r="B28" s="13">
        <v>45708</v>
      </c>
      <c r="C28" s="13">
        <v>45768</v>
      </c>
      <c r="D28" s="14">
        <v>50.85</v>
      </c>
      <c r="E28" s="15">
        <v>14410000</v>
      </c>
      <c r="F28" s="14">
        <v>12040</v>
      </c>
      <c r="G28" s="15">
        <v>3898000</v>
      </c>
      <c r="H28" s="14">
        <v>53</v>
      </c>
      <c r="I28" s="15">
        <v>175000</v>
      </c>
      <c r="J28" s="14"/>
      <c r="K28" s="15">
        <v>285600</v>
      </c>
      <c r="L28" s="14">
        <v>172</v>
      </c>
      <c r="M28" s="15">
        <v>1118000</v>
      </c>
      <c r="N28" s="15">
        <v>2650972</v>
      </c>
      <c r="O28" s="15">
        <v>204000</v>
      </c>
      <c r="P28" s="15">
        <v>57000</v>
      </c>
      <c r="Q28" s="15">
        <v>200000</v>
      </c>
      <c r="R28" s="15">
        <v>340000</v>
      </c>
      <c r="S28" s="15">
        <v>183000</v>
      </c>
      <c r="T28" s="15">
        <v>250000</v>
      </c>
      <c r="U28" s="15">
        <v>0</v>
      </c>
      <c r="V28" s="15">
        <v>0</v>
      </c>
      <c r="W28" s="15">
        <v>100000</v>
      </c>
      <c r="X28" s="15">
        <v>265900</v>
      </c>
      <c r="Y28" s="15">
        <v>106950</v>
      </c>
      <c r="Z28" s="15">
        <v>42000</v>
      </c>
      <c r="AA28" s="15">
        <v>80000</v>
      </c>
      <c r="AB28" s="15">
        <v>54250</v>
      </c>
      <c r="AC28" s="15">
        <v>70000</v>
      </c>
      <c r="AD28" s="15">
        <v>9000</v>
      </c>
      <c r="AE28" s="16">
        <f t="shared" si="0"/>
        <v>24499672</v>
      </c>
      <c r="AF28" s="17">
        <v>10663</v>
      </c>
      <c r="AG28" s="15">
        <v>21022300</v>
      </c>
      <c r="AH28" s="14">
        <v>0</v>
      </c>
      <c r="AI28" s="15">
        <v>0</v>
      </c>
      <c r="AJ28" s="15">
        <v>470000</v>
      </c>
      <c r="AK28" s="15">
        <v>350000</v>
      </c>
      <c r="AL28" s="15">
        <v>161000</v>
      </c>
      <c r="AM28" s="15">
        <v>0</v>
      </c>
      <c r="AN28" s="15">
        <v>60000</v>
      </c>
      <c r="AO28" s="18">
        <f t="shared" si="1"/>
        <v>22063300</v>
      </c>
      <c r="AP28" s="19">
        <f t="shared" si="2"/>
        <v>-2436372</v>
      </c>
      <c r="AQ28" s="20">
        <v>-1827279</v>
      </c>
      <c r="AR28" s="21">
        <f t="shared" si="3"/>
        <v>0.75</v>
      </c>
      <c r="AS28" s="14">
        <v>10663</v>
      </c>
      <c r="AT28" s="22">
        <v>1247</v>
      </c>
      <c r="AU28" s="14">
        <v>123</v>
      </c>
      <c r="AV28" s="23">
        <v>-7</v>
      </c>
      <c r="AW28" s="24">
        <v>0.10357142857142858</v>
      </c>
      <c r="AX28" s="15">
        <v>323.75415282392026</v>
      </c>
      <c r="AY28" s="15">
        <v>283382.49754178955</v>
      </c>
      <c r="AZ28" s="15">
        <v>1971.5183344274594</v>
      </c>
      <c r="BA28" s="13">
        <v>45708</v>
      </c>
      <c r="BB28" s="14">
        <f t="shared" si="4"/>
        <v>60</v>
      </c>
    </row>
    <row r="29" spans="1:54" x14ac:dyDescent="0.35">
      <c r="A29" s="12" t="s">
        <v>64</v>
      </c>
      <c r="B29" s="13">
        <v>45715</v>
      </c>
      <c r="C29" s="13">
        <v>45783</v>
      </c>
      <c r="D29" s="14">
        <v>45.35</v>
      </c>
      <c r="E29" s="15">
        <v>12439732</v>
      </c>
      <c r="F29" s="14">
        <v>10440</v>
      </c>
      <c r="G29" s="15">
        <v>2457530</v>
      </c>
      <c r="H29" s="14">
        <v>32</v>
      </c>
      <c r="I29" s="15">
        <v>160000</v>
      </c>
      <c r="J29" s="14"/>
      <c r="K29" s="15">
        <v>352000</v>
      </c>
      <c r="L29" s="14">
        <v>168</v>
      </c>
      <c r="M29" s="15">
        <v>1092000</v>
      </c>
      <c r="N29" s="15">
        <v>3461179</v>
      </c>
      <c r="O29" s="15">
        <v>154000</v>
      </c>
      <c r="P29" s="15">
        <v>76000</v>
      </c>
      <c r="Q29" s="15">
        <v>200000</v>
      </c>
      <c r="R29" s="15">
        <v>340000</v>
      </c>
      <c r="S29" s="15">
        <v>207000</v>
      </c>
      <c r="T29" s="15">
        <v>290000</v>
      </c>
      <c r="U29" s="15">
        <v>0</v>
      </c>
      <c r="V29" s="15">
        <v>100000</v>
      </c>
      <c r="W29" s="15">
        <v>50000</v>
      </c>
      <c r="X29" s="15">
        <v>99075</v>
      </c>
      <c r="Y29" s="15">
        <v>82550</v>
      </c>
      <c r="Z29" s="15">
        <v>35700</v>
      </c>
      <c r="AA29" s="15">
        <v>80000</v>
      </c>
      <c r="AB29" s="15">
        <v>17500</v>
      </c>
      <c r="AC29" s="15">
        <v>70000</v>
      </c>
      <c r="AD29" s="15">
        <v>86100</v>
      </c>
      <c r="AE29" s="16">
        <f t="shared" si="0"/>
        <v>21850366</v>
      </c>
      <c r="AF29" s="17">
        <v>4372</v>
      </c>
      <c r="AG29" s="15">
        <v>8728500</v>
      </c>
      <c r="AH29" s="14">
        <v>3883</v>
      </c>
      <c r="AI29" s="15">
        <v>3199730</v>
      </c>
      <c r="AJ29" s="15">
        <v>400000</v>
      </c>
      <c r="AK29" s="15">
        <v>0</v>
      </c>
      <c r="AL29" s="15">
        <v>138212</v>
      </c>
      <c r="AM29" s="15">
        <v>246915</v>
      </c>
      <c r="AN29" s="15">
        <v>32500</v>
      </c>
      <c r="AO29" s="18">
        <f t="shared" si="1"/>
        <v>12745857</v>
      </c>
      <c r="AP29" s="19">
        <f t="shared" si="2"/>
        <v>-9104509</v>
      </c>
      <c r="AQ29" s="20">
        <v>-4552254.5</v>
      </c>
      <c r="AR29" s="21">
        <f t="shared" si="3"/>
        <v>0.5</v>
      </c>
      <c r="AS29" s="14">
        <v>8255</v>
      </c>
      <c r="AT29" s="25">
        <v>2028</v>
      </c>
      <c r="AU29" s="26">
        <v>100</v>
      </c>
      <c r="AV29" s="23">
        <f>SUM(AS29:AU29)-F29</f>
        <v>-57</v>
      </c>
      <c r="AW29" s="24">
        <f>AT29/F29</f>
        <v>0.19425287356321838</v>
      </c>
      <c r="AX29" s="15">
        <f>G29/F29</f>
        <v>235.39559386973181</v>
      </c>
      <c r="AY29" s="15">
        <f>E29/D29</f>
        <v>274305.00551267917</v>
      </c>
      <c r="AZ29" s="15">
        <f>SUM(AI29+AG29)/SUM(AH29+AF29)</f>
        <v>1444.9703210175651</v>
      </c>
      <c r="BA29" s="13">
        <f>B29</f>
        <v>45715</v>
      </c>
      <c r="BB29" s="14">
        <f t="shared" si="4"/>
        <v>68</v>
      </c>
    </row>
    <row r="30" spans="1:54" x14ac:dyDescent="0.35">
      <c r="A30" s="12" t="s">
        <v>66</v>
      </c>
      <c r="B30" s="13">
        <v>45719</v>
      </c>
      <c r="C30" s="13">
        <v>45777</v>
      </c>
      <c r="D30" s="14">
        <v>48.35</v>
      </c>
      <c r="E30" s="15">
        <v>13384775</v>
      </c>
      <c r="F30" s="14">
        <v>12500</v>
      </c>
      <c r="G30" s="15">
        <v>1443250</v>
      </c>
      <c r="H30" s="14">
        <v>30</v>
      </c>
      <c r="I30" s="15">
        <v>150000</v>
      </c>
      <c r="J30" s="14"/>
      <c r="K30" s="15">
        <v>384000</v>
      </c>
      <c r="L30" s="14">
        <v>174</v>
      </c>
      <c r="M30" s="15">
        <v>1131000</v>
      </c>
      <c r="N30" s="15">
        <v>1918190</v>
      </c>
      <c r="O30" s="15">
        <v>157500</v>
      </c>
      <c r="P30" s="15">
        <v>50800</v>
      </c>
      <c r="Q30" s="15">
        <v>230000</v>
      </c>
      <c r="R30" s="15">
        <v>340000</v>
      </c>
      <c r="S30" s="15">
        <v>174000</v>
      </c>
      <c r="T30" s="15">
        <v>290000</v>
      </c>
      <c r="U30" s="15">
        <v>0</v>
      </c>
      <c r="V30" s="15">
        <v>100000</v>
      </c>
      <c r="W30" s="15">
        <v>0</v>
      </c>
      <c r="X30" s="15">
        <v>195300</v>
      </c>
      <c r="Y30" s="15">
        <v>107680</v>
      </c>
      <c r="Z30" s="15">
        <v>40250</v>
      </c>
      <c r="AA30" s="15">
        <v>80000</v>
      </c>
      <c r="AB30" s="15">
        <v>0</v>
      </c>
      <c r="AC30" s="15">
        <v>70000</v>
      </c>
      <c r="AD30" s="15">
        <v>0</v>
      </c>
      <c r="AE30" s="16">
        <f t="shared" si="0"/>
        <v>20246745</v>
      </c>
      <c r="AF30" s="17">
        <v>10124</v>
      </c>
      <c r="AG30" s="15">
        <v>19104500</v>
      </c>
      <c r="AH30" s="14">
        <v>644</v>
      </c>
      <c r="AI30" s="15">
        <v>493440</v>
      </c>
      <c r="AJ30" s="15">
        <v>450000</v>
      </c>
      <c r="AK30" s="15">
        <v>101000</v>
      </c>
      <c r="AL30" s="15">
        <v>196000</v>
      </c>
      <c r="AM30" s="15">
        <v>463095</v>
      </c>
      <c r="AN30" s="15">
        <v>292500</v>
      </c>
      <c r="AO30" s="18">
        <f t="shared" si="1"/>
        <v>21100535</v>
      </c>
      <c r="AP30" s="19">
        <f t="shared" si="2"/>
        <v>853790</v>
      </c>
      <c r="AQ30" s="20">
        <v>426895</v>
      </c>
      <c r="AR30" s="21">
        <f t="shared" si="3"/>
        <v>0.5</v>
      </c>
      <c r="AS30" s="14">
        <v>10768</v>
      </c>
      <c r="AT30" s="22">
        <v>1602</v>
      </c>
      <c r="AU30" s="14">
        <v>150</v>
      </c>
      <c r="AV30" s="23">
        <v>20</v>
      </c>
      <c r="AW30" s="24">
        <v>0.12816</v>
      </c>
      <c r="AX30" s="15">
        <v>115.46</v>
      </c>
      <c r="AY30" s="15">
        <v>276830.92037228541</v>
      </c>
      <c r="AZ30" s="15">
        <v>1820.0167161961367</v>
      </c>
      <c r="BA30" s="13">
        <v>45719</v>
      </c>
      <c r="BB30" s="14">
        <f t="shared" si="4"/>
        <v>58</v>
      </c>
    </row>
    <row r="31" spans="1:54" x14ac:dyDescent="0.35">
      <c r="A31" s="12" t="s">
        <v>60</v>
      </c>
      <c r="B31" s="13">
        <v>45722</v>
      </c>
      <c r="C31" s="13">
        <v>45766</v>
      </c>
      <c r="D31" s="14">
        <v>29</v>
      </c>
      <c r="E31" s="15">
        <v>8126900</v>
      </c>
      <c r="F31" s="14">
        <v>12000</v>
      </c>
      <c r="G31" s="15">
        <v>1766400</v>
      </c>
      <c r="H31" s="14">
        <v>20</v>
      </c>
      <c r="I31" s="15">
        <v>100000</v>
      </c>
      <c r="J31" s="14"/>
      <c r="K31" s="15">
        <v>232000</v>
      </c>
      <c r="L31" s="14">
        <v>122</v>
      </c>
      <c r="M31" s="15">
        <v>793000</v>
      </c>
      <c r="N31" s="15">
        <v>1952280</v>
      </c>
      <c r="O31" s="15">
        <v>145000</v>
      </c>
      <c r="P31" s="15">
        <v>87750</v>
      </c>
      <c r="Q31" s="15">
        <v>200000</v>
      </c>
      <c r="R31" s="15">
        <v>340000</v>
      </c>
      <c r="S31" s="15">
        <v>135000</v>
      </c>
      <c r="T31" s="15">
        <v>250000</v>
      </c>
      <c r="U31" s="15">
        <v>0</v>
      </c>
      <c r="V31" s="15">
        <v>100000</v>
      </c>
      <c r="W31" s="15">
        <v>50000</v>
      </c>
      <c r="X31" s="15">
        <v>148375</v>
      </c>
      <c r="Y31" s="15">
        <v>98250</v>
      </c>
      <c r="Z31" s="15">
        <v>41125</v>
      </c>
      <c r="AA31" s="15">
        <v>80000</v>
      </c>
      <c r="AB31" s="15">
        <v>0</v>
      </c>
      <c r="AC31" s="15">
        <v>70000</v>
      </c>
      <c r="AD31" s="15">
        <v>80000</v>
      </c>
      <c r="AE31" s="16">
        <f t="shared" si="0"/>
        <v>14796080</v>
      </c>
      <c r="AF31" s="17">
        <v>5945</v>
      </c>
      <c r="AG31" s="15">
        <v>6223620</v>
      </c>
      <c r="AH31" s="14">
        <v>3875</v>
      </c>
      <c r="AI31" s="15">
        <v>1488550</v>
      </c>
      <c r="AJ31" s="15">
        <v>250000</v>
      </c>
      <c r="AK31" s="15">
        <v>59500</v>
      </c>
      <c r="AL31" s="15">
        <v>686000</v>
      </c>
      <c r="AM31" s="15">
        <v>222480</v>
      </c>
      <c r="AN31" s="15">
        <v>71500</v>
      </c>
      <c r="AO31" s="18">
        <f t="shared" si="1"/>
        <v>9001650</v>
      </c>
      <c r="AP31" s="19">
        <f t="shared" si="2"/>
        <v>-5794430</v>
      </c>
      <c r="AQ31" s="20">
        <f>AP31*75%</f>
        <v>-4345822.5</v>
      </c>
      <c r="AR31" s="21">
        <f t="shared" si="3"/>
        <v>0.75</v>
      </c>
      <c r="AS31" s="14">
        <v>9820</v>
      </c>
      <c r="AT31" s="22">
        <v>2073</v>
      </c>
      <c r="AU31" s="14">
        <v>105</v>
      </c>
      <c r="AV31" s="23">
        <v>-2</v>
      </c>
      <c r="AW31" s="24">
        <f>AT31/F31</f>
        <v>0.17274999999999999</v>
      </c>
      <c r="AX31" s="15">
        <f>G31/F31</f>
        <v>147.19999999999999</v>
      </c>
      <c r="AY31" s="15">
        <f>E31/D31</f>
        <v>280237.93103448278</v>
      </c>
      <c r="AZ31" s="15">
        <f>SUM(AI31+AG31)/SUM(AH31+AF31)</f>
        <v>785.35336048879833</v>
      </c>
      <c r="BA31" s="13">
        <f>B31</f>
        <v>45722</v>
      </c>
      <c r="BB31" s="14">
        <f t="shared" si="4"/>
        <v>44</v>
      </c>
    </row>
    <row r="32" spans="1:54" x14ac:dyDescent="0.35">
      <c r="A32" s="12" t="s">
        <v>83</v>
      </c>
      <c r="B32" s="13">
        <v>45722</v>
      </c>
      <c r="C32" s="13">
        <v>45780</v>
      </c>
      <c r="D32" s="14">
        <v>48.75</v>
      </c>
      <c r="E32" s="15">
        <v>13824225</v>
      </c>
      <c r="F32" s="14">
        <v>12000</v>
      </c>
      <c r="G32" s="15">
        <v>1178400</v>
      </c>
      <c r="H32" s="14">
        <v>25</v>
      </c>
      <c r="I32" s="15">
        <v>115000</v>
      </c>
      <c r="J32" s="14"/>
      <c r="K32" s="15">
        <v>123666</v>
      </c>
      <c r="L32" s="14">
        <v>164</v>
      </c>
      <c r="M32" s="15">
        <v>1066000</v>
      </c>
      <c r="N32" s="15">
        <v>2583512</v>
      </c>
      <c r="O32" s="15">
        <v>192000</v>
      </c>
      <c r="P32" s="15">
        <v>0</v>
      </c>
      <c r="Q32" s="15">
        <v>231875</v>
      </c>
      <c r="R32" s="15">
        <v>340000</v>
      </c>
      <c r="S32" s="15">
        <v>178500</v>
      </c>
      <c r="T32" s="15">
        <v>250000</v>
      </c>
      <c r="U32" s="15">
        <v>0</v>
      </c>
      <c r="V32" s="15">
        <v>70000</v>
      </c>
      <c r="W32" s="15">
        <v>50000</v>
      </c>
      <c r="X32" s="15">
        <v>166175</v>
      </c>
      <c r="Y32" s="15">
        <v>97730</v>
      </c>
      <c r="Z32" s="15">
        <v>42000</v>
      </c>
      <c r="AA32" s="15">
        <v>50000</v>
      </c>
      <c r="AB32" s="15">
        <v>28000</v>
      </c>
      <c r="AC32" s="15">
        <v>42000</v>
      </c>
      <c r="AD32" s="15">
        <v>10000</v>
      </c>
      <c r="AE32" s="16">
        <f t="shared" si="0"/>
        <v>20639083</v>
      </c>
      <c r="AF32" s="17">
        <v>7031</v>
      </c>
      <c r="AG32" s="15">
        <v>11811900</v>
      </c>
      <c r="AH32" s="14">
        <v>2742</v>
      </c>
      <c r="AI32" s="15">
        <v>2850550</v>
      </c>
      <c r="AJ32" s="15">
        <v>418700</v>
      </c>
      <c r="AK32" s="15">
        <v>223000</v>
      </c>
      <c r="AL32" s="15">
        <v>397300</v>
      </c>
      <c r="AM32" s="15">
        <v>80460</v>
      </c>
      <c r="AN32" s="15">
        <v>26000</v>
      </c>
      <c r="AO32" s="18">
        <f t="shared" si="1"/>
        <v>15807910</v>
      </c>
      <c r="AP32" s="19">
        <f t="shared" si="2"/>
        <v>-4831173</v>
      </c>
      <c r="AQ32" s="20">
        <v>-4348055.7</v>
      </c>
      <c r="AR32" s="21">
        <f t="shared" si="3"/>
        <v>0.9</v>
      </c>
      <c r="AS32" s="14">
        <v>9773</v>
      </c>
      <c r="AT32" s="22">
        <v>1944</v>
      </c>
      <c r="AU32" s="14">
        <v>129</v>
      </c>
      <c r="AV32" s="23">
        <v>-154</v>
      </c>
      <c r="AW32" s="24">
        <v>0.16200000000000001</v>
      </c>
      <c r="AX32" s="15">
        <v>98.2</v>
      </c>
      <c r="AY32" s="15">
        <v>283573.84615384613</v>
      </c>
      <c r="AZ32" s="15">
        <v>1500.3018520413384</v>
      </c>
      <c r="BA32" s="13">
        <v>45722</v>
      </c>
      <c r="BB32" s="14">
        <f t="shared" si="4"/>
        <v>58</v>
      </c>
    </row>
    <row r="33" spans="1:54" x14ac:dyDescent="0.35">
      <c r="A33" s="12" t="s">
        <v>84</v>
      </c>
      <c r="B33" s="13">
        <v>45729</v>
      </c>
      <c r="C33" s="13">
        <v>45792</v>
      </c>
      <c r="D33" s="14">
        <v>53.75</v>
      </c>
      <c r="E33" s="15">
        <v>14872580</v>
      </c>
      <c r="F33" s="14">
        <v>13000</v>
      </c>
      <c r="G33" s="15">
        <v>1659400</v>
      </c>
      <c r="H33" s="14">
        <v>31</v>
      </c>
      <c r="I33" s="15">
        <v>155000</v>
      </c>
      <c r="J33" s="14"/>
      <c r="K33" s="15">
        <v>400000</v>
      </c>
      <c r="L33" s="14">
        <v>189</v>
      </c>
      <c r="M33" s="15">
        <v>1228500</v>
      </c>
      <c r="N33" s="15">
        <v>3056700</v>
      </c>
      <c r="O33" s="15">
        <v>132500</v>
      </c>
      <c r="P33" s="15">
        <v>86500</v>
      </c>
      <c r="Q33" s="15">
        <v>200000</v>
      </c>
      <c r="R33" s="15">
        <v>340000</v>
      </c>
      <c r="S33" s="15">
        <v>128000</v>
      </c>
      <c r="T33" s="15">
        <v>300000</v>
      </c>
      <c r="U33" s="15">
        <v>0</v>
      </c>
      <c r="V33" s="15">
        <v>100000</v>
      </c>
      <c r="W33" s="15">
        <v>50000</v>
      </c>
      <c r="X33" s="15">
        <v>189000</v>
      </c>
      <c r="Y33" s="15">
        <v>121230</v>
      </c>
      <c r="Z33" s="15">
        <v>45500</v>
      </c>
      <c r="AA33" s="15">
        <v>50000</v>
      </c>
      <c r="AB33" s="15">
        <v>0</v>
      </c>
      <c r="AC33" s="15">
        <v>40000</v>
      </c>
      <c r="AD33" s="15">
        <v>29450</v>
      </c>
      <c r="AE33" s="16">
        <f t="shared" si="0"/>
        <v>23184360</v>
      </c>
      <c r="AF33" s="17">
        <v>7898</v>
      </c>
      <c r="AG33" s="15">
        <v>11923875</v>
      </c>
      <c r="AH33" s="14">
        <v>4225</v>
      </c>
      <c r="AI33" s="15">
        <v>5094600</v>
      </c>
      <c r="AJ33" s="15">
        <v>498600</v>
      </c>
      <c r="AK33" s="15">
        <v>142000</v>
      </c>
      <c r="AL33" s="15">
        <v>0</v>
      </c>
      <c r="AM33" s="15">
        <v>63000</v>
      </c>
      <c r="AN33" s="15">
        <f>106000+234650</f>
        <v>340650</v>
      </c>
      <c r="AO33" s="18">
        <f t="shared" si="1"/>
        <v>18062725</v>
      </c>
      <c r="AP33" s="19">
        <f t="shared" si="2"/>
        <v>-5121635</v>
      </c>
      <c r="AQ33" s="19">
        <v>-3329062.75</v>
      </c>
      <c r="AR33" s="21">
        <f t="shared" si="3"/>
        <v>0.65</v>
      </c>
      <c r="AS33" s="14">
        <v>12123</v>
      </c>
      <c r="AT33" s="22">
        <v>667</v>
      </c>
      <c r="AU33" s="14">
        <v>237</v>
      </c>
      <c r="AV33" s="23">
        <f>SUM(AS33:AU33)-F33</f>
        <v>27</v>
      </c>
      <c r="AW33" s="24">
        <f>AT33/F33</f>
        <v>5.1307692307692311E-2</v>
      </c>
      <c r="AX33" s="15">
        <f>G33/F33</f>
        <v>127.64615384615385</v>
      </c>
      <c r="AY33" s="15">
        <f>E33/D33</f>
        <v>276699.16279069765</v>
      </c>
      <c r="AZ33" s="15">
        <f>SUM(AI33+AG33)/SUM(AH33+AF33)</f>
        <v>1403.81712447414</v>
      </c>
      <c r="BA33" s="13">
        <f>B33</f>
        <v>45729</v>
      </c>
      <c r="BB33" s="14">
        <f t="shared" si="4"/>
        <v>63</v>
      </c>
    </row>
    <row r="34" spans="1:54" x14ac:dyDescent="0.35">
      <c r="A34" s="12" t="s">
        <v>71</v>
      </c>
      <c r="B34" s="13">
        <v>45736</v>
      </c>
      <c r="C34" s="13">
        <v>45799</v>
      </c>
      <c r="D34" s="14">
        <v>40.450000000000003</v>
      </c>
      <c r="E34" s="15">
        <v>11320175</v>
      </c>
      <c r="F34" s="14">
        <v>12000</v>
      </c>
      <c r="G34" s="15">
        <v>1366150</v>
      </c>
      <c r="H34" s="14">
        <v>31</v>
      </c>
      <c r="I34" s="15">
        <v>140000</v>
      </c>
      <c r="J34" s="14"/>
      <c r="K34" s="15">
        <v>101666</v>
      </c>
      <c r="L34" s="14">
        <v>129</v>
      </c>
      <c r="M34" s="15">
        <v>838500</v>
      </c>
      <c r="N34" s="15">
        <v>2665862</v>
      </c>
      <c r="O34" s="15">
        <v>156000</v>
      </c>
      <c r="P34" s="15">
        <v>10000</v>
      </c>
      <c r="Q34" s="15">
        <v>248125</v>
      </c>
      <c r="R34" s="15">
        <v>340000</v>
      </c>
      <c r="S34" s="15">
        <v>150500</v>
      </c>
      <c r="T34" s="15">
        <v>250000</v>
      </c>
      <c r="U34" s="15">
        <v>0</v>
      </c>
      <c r="V34" s="15">
        <v>70000</v>
      </c>
      <c r="W34" s="15">
        <v>50000</v>
      </c>
      <c r="X34" s="15">
        <v>90800</v>
      </c>
      <c r="Y34" s="15">
        <v>38550</v>
      </c>
      <c r="Z34" s="15">
        <v>42000</v>
      </c>
      <c r="AA34" s="15">
        <v>50000</v>
      </c>
      <c r="AB34" s="15">
        <v>21000</v>
      </c>
      <c r="AC34" s="15">
        <v>42000</v>
      </c>
      <c r="AD34" s="15">
        <v>30000</v>
      </c>
      <c r="AE34" s="16">
        <f t="shared" si="0"/>
        <v>18021328</v>
      </c>
      <c r="AF34" s="17">
        <v>3855</v>
      </c>
      <c r="AG34" s="15">
        <v>8743950</v>
      </c>
      <c r="AH34" s="14">
        <v>4174</v>
      </c>
      <c r="AI34" s="15">
        <v>3283450</v>
      </c>
      <c r="AJ34" s="15">
        <v>400000</v>
      </c>
      <c r="AK34" s="15">
        <v>44000</v>
      </c>
      <c r="AL34" s="15">
        <v>0</v>
      </c>
      <c r="AM34" s="15">
        <v>73350</v>
      </c>
      <c r="AN34" s="15">
        <v>39000</v>
      </c>
      <c r="AO34" s="18">
        <f t="shared" si="1"/>
        <v>12583750</v>
      </c>
      <c r="AP34" s="19">
        <f t="shared" si="2"/>
        <v>-5437578</v>
      </c>
      <c r="AQ34" s="20">
        <v>-4893820.2</v>
      </c>
      <c r="AR34" s="21">
        <f t="shared" si="3"/>
        <v>0.9</v>
      </c>
      <c r="AS34" s="14">
        <v>8029</v>
      </c>
      <c r="AT34" s="22">
        <v>3842</v>
      </c>
      <c r="AU34" s="14">
        <v>122</v>
      </c>
      <c r="AV34" s="23">
        <v>-7</v>
      </c>
      <c r="AW34" s="24">
        <v>0.32016666666666665</v>
      </c>
      <c r="AX34" s="15">
        <v>113.84583333333333</v>
      </c>
      <c r="AY34" s="15">
        <v>279855.99505562423</v>
      </c>
      <c r="AZ34" s="15">
        <v>1497.994768962511</v>
      </c>
      <c r="BA34" s="13">
        <v>45736</v>
      </c>
      <c r="BB34" s="14">
        <f t="shared" si="4"/>
        <v>63</v>
      </c>
    </row>
    <row r="35" spans="1:54" x14ac:dyDescent="0.35">
      <c r="A35" s="12" t="s">
        <v>70</v>
      </c>
      <c r="B35" s="13">
        <v>45743</v>
      </c>
      <c r="C35" s="13">
        <v>45804</v>
      </c>
      <c r="D35" s="14">
        <v>44</v>
      </c>
      <c r="E35" s="15">
        <v>12099125</v>
      </c>
      <c r="F35" s="14">
        <v>11000</v>
      </c>
      <c r="G35" s="15">
        <v>1144000</v>
      </c>
      <c r="H35" s="14">
        <v>29</v>
      </c>
      <c r="I35" s="15">
        <v>145000</v>
      </c>
      <c r="J35" s="14"/>
      <c r="K35" s="15">
        <v>250000</v>
      </c>
      <c r="L35" s="14">
        <v>188</v>
      </c>
      <c r="M35" s="15">
        <v>1222000</v>
      </c>
      <c r="N35" s="15">
        <v>1240663</v>
      </c>
      <c r="O35" s="15">
        <v>132000</v>
      </c>
      <c r="P35" s="15">
        <v>92950</v>
      </c>
      <c r="Q35" s="15">
        <v>200000</v>
      </c>
      <c r="R35" s="15">
        <v>340000</v>
      </c>
      <c r="S35" s="15">
        <v>163400</v>
      </c>
      <c r="T35" s="15">
        <v>300000</v>
      </c>
      <c r="U35" s="15">
        <v>0</v>
      </c>
      <c r="V35" s="15">
        <v>100000</v>
      </c>
      <c r="W35" s="15">
        <v>50000</v>
      </c>
      <c r="X35" s="15">
        <v>209175</v>
      </c>
      <c r="Y35" s="15">
        <v>101480</v>
      </c>
      <c r="Z35" s="15">
        <v>37100</v>
      </c>
      <c r="AA35" s="15">
        <v>80000</v>
      </c>
      <c r="AB35" s="15">
        <v>69800</v>
      </c>
      <c r="AC35" s="15">
        <v>70000</v>
      </c>
      <c r="AD35" s="15">
        <v>0</v>
      </c>
      <c r="AE35" s="16">
        <f t="shared" si="0"/>
        <v>18046693</v>
      </c>
      <c r="AF35" s="17">
        <v>8488</v>
      </c>
      <c r="AG35" s="15">
        <v>14221870</v>
      </c>
      <c r="AH35" s="14">
        <v>1660</v>
      </c>
      <c r="AI35" s="15">
        <v>2089100</v>
      </c>
      <c r="AJ35" s="15">
        <v>439000</v>
      </c>
      <c r="AK35" s="15">
        <v>0</v>
      </c>
      <c r="AL35" s="15">
        <v>0</v>
      </c>
      <c r="AM35" s="15">
        <v>121230</v>
      </c>
      <c r="AN35" s="15">
        <v>93000</v>
      </c>
      <c r="AO35" s="18">
        <f t="shared" si="1"/>
        <v>16964200</v>
      </c>
      <c r="AP35" s="19">
        <f t="shared" si="2"/>
        <v>-1082493</v>
      </c>
      <c r="AQ35" s="20">
        <f>AP35*75%</f>
        <v>-811869.75</v>
      </c>
      <c r="AR35" s="21">
        <f t="shared" si="3"/>
        <v>0.75</v>
      </c>
      <c r="AS35" s="14">
        <v>10148</v>
      </c>
      <c r="AT35" s="22">
        <v>695</v>
      </c>
      <c r="AU35" s="14">
        <v>162</v>
      </c>
      <c r="AV35" s="23">
        <v>5</v>
      </c>
      <c r="AW35" s="24">
        <f>AT35/F35</f>
        <v>6.3181818181818186E-2</v>
      </c>
      <c r="AX35" s="15">
        <f>G35/F35</f>
        <v>104</v>
      </c>
      <c r="AY35" s="15">
        <f>E35/D35</f>
        <v>274980.11363636365</v>
      </c>
      <c r="AZ35" s="15">
        <f>SUM(AI35+AG35)/SUM(AH35+AF35)</f>
        <v>1607.3088293259755</v>
      </c>
      <c r="BA35" s="13">
        <f>B35</f>
        <v>45743</v>
      </c>
      <c r="BB35" s="14">
        <f t="shared" si="4"/>
        <v>61</v>
      </c>
    </row>
    <row r="36" spans="1:54" x14ac:dyDescent="0.35">
      <c r="A36" s="12" t="s">
        <v>75</v>
      </c>
      <c r="B36" s="13">
        <v>45761</v>
      </c>
      <c r="C36" s="13">
        <v>45811</v>
      </c>
      <c r="D36" s="14">
        <v>53</v>
      </c>
      <c r="E36" s="15">
        <v>14696700</v>
      </c>
      <c r="F36" s="14">
        <v>15972</v>
      </c>
      <c r="G36" s="15">
        <v>1255430</v>
      </c>
      <c r="H36" s="14">
        <v>36</v>
      </c>
      <c r="I36" s="15">
        <v>180000</v>
      </c>
      <c r="J36" s="14"/>
      <c r="K36" s="15">
        <v>408000</v>
      </c>
      <c r="L36" s="14">
        <v>95</v>
      </c>
      <c r="M36" s="15">
        <v>617500</v>
      </c>
      <c r="N36" s="15">
        <v>2645650</v>
      </c>
      <c r="O36" s="15">
        <v>185500</v>
      </c>
      <c r="P36" s="15">
        <v>47700</v>
      </c>
      <c r="Q36" s="15">
        <v>230000</v>
      </c>
      <c r="R36" s="15">
        <v>340000</v>
      </c>
      <c r="S36" s="15">
        <v>209000</v>
      </c>
      <c r="T36" s="15">
        <v>250000</v>
      </c>
      <c r="U36" s="15">
        <v>40000</v>
      </c>
      <c r="V36" s="15">
        <v>100000</v>
      </c>
      <c r="W36" s="15">
        <v>0</v>
      </c>
      <c r="X36" s="15">
        <v>129625</v>
      </c>
      <c r="Y36" s="15">
        <v>139480</v>
      </c>
      <c r="Z36" s="15">
        <v>52500</v>
      </c>
      <c r="AA36" s="15">
        <v>80000</v>
      </c>
      <c r="AB36" s="15">
        <v>0</v>
      </c>
      <c r="AC36" s="15">
        <v>70000</v>
      </c>
      <c r="AD36" s="15">
        <v>0</v>
      </c>
      <c r="AE36" s="16">
        <f t="shared" si="0"/>
        <v>21677085</v>
      </c>
      <c r="AF36" s="17">
        <v>6833</v>
      </c>
      <c r="AG36" s="15">
        <v>8833800</v>
      </c>
      <c r="AH36" s="14">
        <v>7115</v>
      </c>
      <c r="AI36" s="15">
        <v>10846190</v>
      </c>
      <c r="AJ36" s="15">
        <v>469000</v>
      </c>
      <c r="AK36" s="15">
        <v>114000</v>
      </c>
      <c r="AL36" s="15">
        <v>551050</v>
      </c>
      <c r="AM36" s="15">
        <v>673110</v>
      </c>
      <c r="AN36" s="15">
        <v>175500</v>
      </c>
      <c r="AO36" s="18">
        <f t="shared" si="1"/>
        <v>21662650</v>
      </c>
      <c r="AP36" s="19">
        <f t="shared" si="2"/>
        <v>-14435</v>
      </c>
      <c r="AQ36" s="20">
        <v>-7217.5</v>
      </c>
      <c r="AR36" s="21">
        <f t="shared" si="3"/>
        <v>0.5</v>
      </c>
      <c r="AS36" s="14">
        <v>13948</v>
      </c>
      <c r="AT36" s="22">
        <v>1938</v>
      </c>
      <c r="AU36" s="14">
        <v>100</v>
      </c>
      <c r="AV36" s="23">
        <v>14</v>
      </c>
      <c r="AW36" s="24">
        <v>0.12133734034560481</v>
      </c>
      <c r="AX36" s="15">
        <v>78.601928374655643</v>
      </c>
      <c r="AY36" s="15">
        <v>277296.22641509434</v>
      </c>
      <c r="AZ36" s="15">
        <v>1410.9542586750788</v>
      </c>
      <c r="BA36" s="13">
        <v>45761</v>
      </c>
      <c r="BB36" s="14">
        <f t="shared" si="4"/>
        <v>50</v>
      </c>
    </row>
    <row r="37" spans="1:54" x14ac:dyDescent="0.35">
      <c r="A37" s="12" t="s">
        <v>69</v>
      </c>
      <c r="B37" s="13">
        <v>45764</v>
      </c>
      <c r="C37" s="13">
        <v>45827</v>
      </c>
      <c r="D37" s="14">
        <v>55.25</v>
      </c>
      <c r="E37" s="15">
        <v>15863000</v>
      </c>
      <c r="F37" s="14">
        <v>17064</v>
      </c>
      <c r="G37" s="15">
        <v>1341180</v>
      </c>
      <c r="H37" s="14">
        <v>42</v>
      </c>
      <c r="I37" s="15">
        <v>183000</v>
      </c>
      <c r="J37" s="14"/>
      <c r="K37" s="15">
        <v>156500</v>
      </c>
      <c r="L37" s="14">
        <v>109</v>
      </c>
      <c r="M37" s="15">
        <v>708500</v>
      </c>
      <c r="N37" s="15">
        <v>2720040</v>
      </c>
      <c r="O37" s="15">
        <v>189000</v>
      </c>
      <c r="P37" s="15">
        <v>93500</v>
      </c>
      <c r="Q37" s="15">
        <v>200000</v>
      </c>
      <c r="R37" s="15">
        <v>490000</v>
      </c>
      <c r="S37" s="15">
        <v>224000</v>
      </c>
      <c r="T37" s="15">
        <v>300000</v>
      </c>
      <c r="U37" s="15">
        <v>0</v>
      </c>
      <c r="V37" s="15">
        <v>0</v>
      </c>
      <c r="W37" s="15">
        <v>100000</v>
      </c>
      <c r="X37" s="15">
        <v>227850</v>
      </c>
      <c r="Y37" s="15">
        <v>0</v>
      </c>
      <c r="Z37" s="15">
        <v>58975</v>
      </c>
      <c r="AA37" s="15">
        <v>80000</v>
      </c>
      <c r="AB37" s="15">
        <v>14000</v>
      </c>
      <c r="AC37" s="15">
        <v>30000</v>
      </c>
      <c r="AD37" s="15">
        <v>153500</v>
      </c>
      <c r="AE37" s="16">
        <f t="shared" si="0"/>
        <v>23133045</v>
      </c>
      <c r="AF37" s="17">
        <v>9288</v>
      </c>
      <c r="AG37" s="15">
        <v>17335500</v>
      </c>
      <c r="AH37" s="14">
        <v>2791</v>
      </c>
      <c r="AI37" s="15">
        <v>4839550</v>
      </c>
      <c r="AJ37" s="15">
        <v>599500</v>
      </c>
      <c r="AK37" s="15">
        <v>71500</v>
      </c>
      <c r="AL37" s="15">
        <v>98000</v>
      </c>
      <c r="AM37" s="15">
        <v>0</v>
      </c>
      <c r="AN37" s="15">
        <v>13500</v>
      </c>
      <c r="AO37" s="18">
        <f t="shared" si="1"/>
        <v>22957550</v>
      </c>
      <c r="AP37" s="19">
        <f t="shared" si="2"/>
        <v>-175495</v>
      </c>
      <c r="AQ37" s="20">
        <v>-131621.25</v>
      </c>
      <c r="AR37" s="21">
        <f t="shared" si="3"/>
        <v>0.75</v>
      </c>
      <c r="AS37" s="14">
        <v>12079</v>
      </c>
      <c r="AT37" s="22">
        <v>5001</v>
      </c>
      <c r="AU37" s="14">
        <v>111</v>
      </c>
      <c r="AV37" s="23">
        <v>127</v>
      </c>
      <c r="AW37" s="24">
        <v>0.29307313642756683</v>
      </c>
      <c r="AX37" s="15">
        <v>78.597046413502113</v>
      </c>
      <c r="AY37" s="15">
        <v>287113.1221719457</v>
      </c>
      <c r="AZ37" s="15">
        <v>1835.8349201092806</v>
      </c>
      <c r="BA37" s="13">
        <v>45764</v>
      </c>
      <c r="BB37" s="14">
        <f t="shared" si="4"/>
        <v>63</v>
      </c>
    </row>
    <row r="38" spans="1:54" x14ac:dyDescent="0.35">
      <c r="A38" s="12" t="s">
        <v>78</v>
      </c>
      <c r="B38" s="13">
        <v>45771</v>
      </c>
      <c r="C38" s="13">
        <v>45828</v>
      </c>
      <c r="D38" s="14">
        <v>38.5</v>
      </c>
      <c r="E38" s="15">
        <v>10675762.5</v>
      </c>
      <c r="F38" s="14">
        <v>12646</v>
      </c>
      <c r="G38" s="15">
        <v>943380</v>
      </c>
      <c r="H38" s="14">
        <v>25</v>
      </c>
      <c r="I38" s="15">
        <v>125000</v>
      </c>
      <c r="J38" s="14"/>
      <c r="K38" s="15">
        <v>230000</v>
      </c>
      <c r="L38" s="14">
        <v>80</v>
      </c>
      <c r="M38" s="15">
        <v>520000</v>
      </c>
      <c r="N38" s="15">
        <v>2699994</v>
      </c>
      <c r="O38" s="15">
        <v>134750</v>
      </c>
      <c r="P38" s="15">
        <v>63000</v>
      </c>
      <c r="Q38" s="15">
        <v>200000</v>
      </c>
      <c r="R38" s="15">
        <v>340000</v>
      </c>
      <c r="S38" s="15">
        <v>186000</v>
      </c>
      <c r="T38" s="15">
        <v>290000</v>
      </c>
      <c r="U38" s="15">
        <v>0</v>
      </c>
      <c r="V38" s="15">
        <v>100000</v>
      </c>
      <c r="W38" s="15">
        <v>50000</v>
      </c>
      <c r="X38" s="15">
        <v>78250</v>
      </c>
      <c r="Y38" s="15">
        <v>70950</v>
      </c>
      <c r="Z38" s="15">
        <v>44100</v>
      </c>
      <c r="AA38" s="15">
        <v>80000</v>
      </c>
      <c r="AB38" s="15">
        <v>0</v>
      </c>
      <c r="AC38" s="15">
        <v>70000</v>
      </c>
      <c r="AD38" s="15">
        <f>9000+65850</f>
        <v>74850</v>
      </c>
      <c r="AE38" s="16">
        <f t="shared" si="0"/>
        <v>16976036.5</v>
      </c>
      <c r="AF38" s="17">
        <v>3251</v>
      </c>
      <c r="AG38" s="15">
        <v>6569850</v>
      </c>
      <c r="AH38" s="14">
        <v>3844</v>
      </c>
      <c r="AI38" s="15">
        <v>9295220</v>
      </c>
      <c r="AJ38" s="15">
        <v>400000</v>
      </c>
      <c r="AK38" s="15">
        <v>41400</v>
      </c>
      <c r="AL38" s="15">
        <v>562800</v>
      </c>
      <c r="AM38" s="15">
        <v>110500</v>
      </c>
      <c r="AN38" s="15">
        <v>229275</v>
      </c>
      <c r="AO38" s="18">
        <f t="shared" si="1"/>
        <v>17209045</v>
      </c>
      <c r="AP38" s="19">
        <f t="shared" si="2"/>
        <v>233008.5</v>
      </c>
      <c r="AQ38" s="20">
        <v>163105.95000000001</v>
      </c>
      <c r="AR38" s="21">
        <f t="shared" si="3"/>
        <v>0.70000000000000007</v>
      </c>
      <c r="AS38" s="14">
        <v>7095</v>
      </c>
      <c r="AT38" s="25">
        <v>5539</v>
      </c>
      <c r="AU38" s="26">
        <v>100</v>
      </c>
      <c r="AV38" s="23">
        <v>88</v>
      </c>
      <c r="AW38" s="24">
        <f>AT38/F38</f>
        <v>0.4380041119721651</v>
      </c>
      <c r="AX38" s="15">
        <f>G38/F38</f>
        <v>74.599082713901623</v>
      </c>
      <c r="AY38" s="15">
        <f>E38/D38</f>
        <v>277292.5324675325</v>
      </c>
      <c r="AZ38" s="15">
        <f>SUM(AI38+AG38)/SUM(AH38+AF38)</f>
        <v>2236.091613812544</v>
      </c>
      <c r="BA38" s="13">
        <f>B38</f>
        <v>45771</v>
      </c>
      <c r="BB38" s="14">
        <f t="shared" si="4"/>
        <v>57</v>
      </c>
    </row>
    <row r="39" spans="1:54" x14ac:dyDescent="0.35">
      <c r="A39" s="12" t="s">
        <v>79</v>
      </c>
      <c r="B39" s="13">
        <v>45775</v>
      </c>
      <c r="C39" s="13">
        <v>45835</v>
      </c>
      <c r="D39" s="14">
        <v>41.75</v>
      </c>
      <c r="E39" s="15">
        <v>11593065</v>
      </c>
      <c r="F39" s="14">
        <v>11000</v>
      </c>
      <c r="G39" s="15">
        <v>939400</v>
      </c>
      <c r="H39" s="14">
        <v>25</v>
      </c>
      <c r="I39" s="15">
        <v>125000</v>
      </c>
      <c r="J39" s="14"/>
      <c r="K39" s="15">
        <v>336000</v>
      </c>
      <c r="L39" s="14">
        <v>80</v>
      </c>
      <c r="M39" s="15">
        <v>520000</v>
      </c>
      <c r="N39" s="15">
        <v>1586333</v>
      </c>
      <c r="O39" s="15">
        <v>190000</v>
      </c>
      <c r="P39" s="15">
        <v>57500</v>
      </c>
      <c r="Q39" s="15">
        <v>200000</v>
      </c>
      <c r="R39" s="15">
        <v>340000</v>
      </c>
      <c r="S39" s="15">
        <v>152500</v>
      </c>
      <c r="T39" s="15">
        <v>250000</v>
      </c>
      <c r="U39" s="15">
        <v>0</v>
      </c>
      <c r="V39" s="15">
        <v>100000</v>
      </c>
      <c r="W39" s="15">
        <v>50000</v>
      </c>
      <c r="X39" s="15">
        <v>216825</v>
      </c>
      <c r="Y39" s="15">
        <v>98780</v>
      </c>
      <c r="Z39" s="15">
        <v>37800</v>
      </c>
      <c r="AA39" s="15">
        <v>80000</v>
      </c>
      <c r="AB39" s="15">
        <v>9000</v>
      </c>
      <c r="AC39" s="15">
        <v>70000</v>
      </c>
      <c r="AD39" s="15">
        <v>0</v>
      </c>
      <c r="AE39" s="16">
        <f t="shared" si="0"/>
        <v>16952203</v>
      </c>
      <c r="AF39" s="17">
        <v>8899</v>
      </c>
      <c r="AG39" s="15">
        <v>17462900</v>
      </c>
      <c r="AH39" s="14">
        <v>979</v>
      </c>
      <c r="AI39" s="15">
        <v>1684240</v>
      </c>
      <c r="AJ39" s="15">
        <v>440000</v>
      </c>
      <c r="AK39" s="15">
        <v>73500</v>
      </c>
      <c r="AL39" s="15">
        <v>0</v>
      </c>
      <c r="AM39" s="15">
        <v>39440</v>
      </c>
      <c r="AN39" s="15">
        <v>149500</v>
      </c>
      <c r="AO39" s="18">
        <f t="shared" si="1"/>
        <v>19849580</v>
      </c>
      <c r="AP39" s="19">
        <f t="shared" si="2"/>
        <v>2897377</v>
      </c>
      <c r="AQ39" s="20">
        <f>AP39*75%</f>
        <v>2173032.75</v>
      </c>
      <c r="AR39" s="21">
        <f t="shared" si="3"/>
        <v>0.75</v>
      </c>
      <c r="AS39" s="14">
        <v>9878</v>
      </c>
      <c r="AT39" s="22">
        <v>1072</v>
      </c>
      <c r="AU39" s="14">
        <v>100</v>
      </c>
      <c r="AV39" s="23">
        <f>SUM(AS39:AU39)-F39</f>
        <v>50</v>
      </c>
      <c r="AW39" s="24">
        <f>AT39/F39</f>
        <v>9.745454545454546E-2</v>
      </c>
      <c r="AX39" s="15">
        <f>G39/F39</f>
        <v>85.4</v>
      </c>
      <c r="AY39" s="15">
        <f>E39/D39</f>
        <v>277678.20359281439</v>
      </c>
      <c r="AZ39" s="15">
        <f>SUM(AI39+AG39)/SUM(AH39+AF39)</f>
        <v>1938.3620166025512</v>
      </c>
      <c r="BA39" s="13">
        <f>B39</f>
        <v>45775</v>
      </c>
      <c r="BB39" s="14">
        <f t="shared" si="4"/>
        <v>60</v>
      </c>
    </row>
    <row r="40" spans="1:54" x14ac:dyDescent="0.35">
      <c r="A40" s="12" t="s">
        <v>73</v>
      </c>
      <c r="B40" s="13">
        <v>45775</v>
      </c>
      <c r="C40" s="13">
        <v>45836</v>
      </c>
      <c r="D40" s="14">
        <v>49.25</v>
      </c>
      <c r="E40" s="15">
        <v>13287068</v>
      </c>
      <c r="F40" s="14">
        <v>12620</v>
      </c>
      <c r="G40" s="15">
        <v>1065160</v>
      </c>
      <c r="H40" s="14">
        <v>25</v>
      </c>
      <c r="I40" s="15">
        <v>125000</v>
      </c>
      <c r="J40" s="14"/>
      <c r="K40" s="15">
        <v>392000</v>
      </c>
      <c r="L40" s="14">
        <v>88</v>
      </c>
      <c r="M40" s="15">
        <v>572000</v>
      </c>
      <c r="N40" s="15">
        <v>2786480</v>
      </c>
      <c r="O40" s="15">
        <v>164500</v>
      </c>
      <c r="P40" s="15">
        <v>54500</v>
      </c>
      <c r="Q40" s="15">
        <v>200000</v>
      </c>
      <c r="R40" s="15">
        <v>340000</v>
      </c>
      <c r="S40" s="15">
        <v>186000</v>
      </c>
      <c r="T40" s="15">
        <v>250000</v>
      </c>
      <c r="U40" s="15">
        <v>0</v>
      </c>
      <c r="V40" s="15">
        <v>100000</v>
      </c>
      <c r="W40" s="15">
        <v>50000</v>
      </c>
      <c r="X40" s="15">
        <v>215350</v>
      </c>
      <c r="Y40" s="15">
        <v>107020</v>
      </c>
      <c r="Z40" s="15">
        <v>44100</v>
      </c>
      <c r="AA40" s="15">
        <v>80000</v>
      </c>
      <c r="AB40" s="15">
        <v>0</v>
      </c>
      <c r="AC40" s="15">
        <v>70000</v>
      </c>
      <c r="AD40" s="15">
        <v>164200</v>
      </c>
      <c r="AE40" s="16">
        <f t="shared" si="0"/>
        <v>20253378</v>
      </c>
      <c r="AF40" s="17">
        <v>8972</v>
      </c>
      <c r="AG40" s="15">
        <v>17070050</v>
      </c>
      <c r="AH40" s="14">
        <v>1731</v>
      </c>
      <c r="AI40" s="15">
        <v>3864500</v>
      </c>
      <c r="AJ40" s="15">
        <v>500000</v>
      </c>
      <c r="AK40" s="15">
        <v>70000</v>
      </c>
      <c r="AL40" s="15">
        <v>160800</v>
      </c>
      <c r="AM40" s="15">
        <v>68310</v>
      </c>
      <c r="AN40" s="15">
        <v>84500</v>
      </c>
      <c r="AO40" s="18">
        <f t="shared" si="1"/>
        <v>21818160</v>
      </c>
      <c r="AP40" s="19">
        <f t="shared" si="2"/>
        <v>1564782</v>
      </c>
      <c r="AQ40" s="20">
        <v>1173586.5</v>
      </c>
      <c r="AR40" s="21">
        <f t="shared" si="3"/>
        <v>0.75</v>
      </c>
      <c r="AS40" s="14">
        <v>10703</v>
      </c>
      <c r="AT40" s="22">
        <v>1799</v>
      </c>
      <c r="AU40" s="14">
        <v>111</v>
      </c>
      <c r="AV40" s="23">
        <v>-7</v>
      </c>
      <c r="AW40" s="24">
        <v>0.14255150554675119</v>
      </c>
      <c r="AX40" s="15">
        <v>84.402535657686215</v>
      </c>
      <c r="AY40" s="15">
        <v>269788.18274111673</v>
      </c>
      <c r="AZ40" s="15">
        <v>1955.95160235448</v>
      </c>
      <c r="BA40" s="13">
        <v>45775</v>
      </c>
      <c r="BB40" s="14">
        <f t="shared" si="4"/>
        <v>61</v>
      </c>
    </row>
    <row r="41" spans="1:54" x14ac:dyDescent="0.35">
      <c r="A41" s="12" t="s">
        <v>62</v>
      </c>
      <c r="B41" s="13">
        <v>45782</v>
      </c>
      <c r="C41" s="13">
        <v>45828</v>
      </c>
      <c r="D41" s="14">
        <v>36.15</v>
      </c>
      <c r="E41" s="15">
        <v>10230475</v>
      </c>
      <c r="F41" s="14">
        <v>13475</v>
      </c>
      <c r="G41" s="15">
        <v>1137250</v>
      </c>
      <c r="H41" s="14">
        <v>29</v>
      </c>
      <c r="I41" s="15">
        <v>145000</v>
      </c>
      <c r="J41" s="14"/>
      <c r="K41" s="15">
        <v>230400</v>
      </c>
      <c r="L41" s="14">
        <v>100</v>
      </c>
      <c r="M41" s="15">
        <v>650000</v>
      </c>
      <c r="N41" s="15">
        <v>2037342</v>
      </c>
      <c r="O41" s="15">
        <v>144000</v>
      </c>
      <c r="P41" s="15">
        <v>54050</v>
      </c>
      <c r="Q41" s="15">
        <v>200000</v>
      </c>
      <c r="R41" s="15">
        <v>340000</v>
      </c>
      <c r="S41" s="15">
        <v>94000</v>
      </c>
      <c r="T41" s="15">
        <v>300000</v>
      </c>
      <c r="U41" s="15">
        <v>0</v>
      </c>
      <c r="V41" s="15">
        <v>0</v>
      </c>
      <c r="W41" s="15">
        <v>100000</v>
      </c>
      <c r="X41" s="15">
        <v>269250</v>
      </c>
      <c r="Y41" s="15">
        <v>128450</v>
      </c>
      <c r="Z41" s="15">
        <v>46900</v>
      </c>
      <c r="AA41" s="15">
        <v>80000</v>
      </c>
      <c r="AB41" s="15">
        <v>0</v>
      </c>
      <c r="AC41" s="15">
        <v>70000</v>
      </c>
      <c r="AD41" s="15">
        <v>0</v>
      </c>
      <c r="AE41" s="16">
        <f t="shared" si="0"/>
        <v>16257117</v>
      </c>
      <c r="AF41" s="17">
        <v>10931</v>
      </c>
      <c r="AG41" s="15">
        <v>15176700</v>
      </c>
      <c r="AH41" s="14">
        <v>1914</v>
      </c>
      <c r="AI41" s="15">
        <v>3145740</v>
      </c>
      <c r="AJ41" s="15">
        <v>389300</v>
      </c>
      <c r="AK41" s="15">
        <v>236250</v>
      </c>
      <c r="AL41" s="15">
        <v>63000</v>
      </c>
      <c r="AM41" s="15">
        <v>161280</v>
      </c>
      <c r="AN41" s="15">
        <v>115500</v>
      </c>
      <c r="AO41" s="18">
        <f t="shared" si="1"/>
        <v>19287770</v>
      </c>
      <c r="AP41" s="19">
        <f t="shared" si="2"/>
        <v>3030653</v>
      </c>
      <c r="AQ41" s="20">
        <v>2272989.75</v>
      </c>
      <c r="AR41" s="21">
        <f t="shared" si="3"/>
        <v>0.75</v>
      </c>
      <c r="AS41" s="14">
        <v>12845</v>
      </c>
      <c r="AT41" s="22">
        <v>600</v>
      </c>
      <c r="AU41" s="14">
        <v>86</v>
      </c>
      <c r="AV41" s="23">
        <v>56</v>
      </c>
      <c r="AW41" s="24">
        <v>4.4526901669758812E-2</v>
      </c>
      <c r="AX41" s="15">
        <v>84.397031539888687</v>
      </c>
      <c r="AY41" s="15">
        <v>283000.69156293222</v>
      </c>
      <c r="AZ41" s="15">
        <v>1426.4258466329311</v>
      </c>
      <c r="BA41" s="13">
        <v>45782</v>
      </c>
      <c r="BB41" s="14">
        <f t="shared" si="4"/>
        <v>46</v>
      </c>
    </row>
    <row r="42" spans="1:54" x14ac:dyDescent="0.35">
      <c r="A42" s="12" t="s">
        <v>72</v>
      </c>
      <c r="B42" s="13">
        <v>45782</v>
      </c>
      <c r="C42" s="13">
        <v>45824</v>
      </c>
      <c r="D42" s="14">
        <v>31.15</v>
      </c>
      <c r="E42" s="15">
        <v>8774400</v>
      </c>
      <c r="F42" s="14">
        <v>12000</v>
      </c>
      <c r="G42" s="15">
        <v>1012800</v>
      </c>
      <c r="H42" s="14">
        <v>20</v>
      </c>
      <c r="I42" s="15">
        <v>100000</v>
      </c>
      <c r="J42" s="14"/>
      <c r="K42" s="15">
        <v>248000</v>
      </c>
      <c r="L42" s="14">
        <v>73</v>
      </c>
      <c r="M42" s="15">
        <v>474500</v>
      </c>
      <c r="N42" s="15">
        <v>1476380</v>
      </c>
      <c r="O42" s="15">
        <v>150000</v>
      </c>
      <c r="P42" s="15">
        <v>31400</v>
      </c>
      <c r="Q42" s="15">
        <v>200000</v>
      </c>
      <c r="R42" s="15">
        <v>340000</v>
      </c>
      <c r="S42" s="15">
        <v>129000</v>
      </c>
      <c r="T42" s="15">
        <v>250000</v>
      </c>
      <c r="U42" s="15">
        <v>0</v>
      </c>
      <c r="V42" s="15">
        <v>100000</v>
      </c>
      <c r="W42" s="15">
        <v>50000</v>
      </c>
      <c r="X42" s="15">
        <v>273475</v>
      </c>
      <c r="Y42" s="15">
        <v>117570</v>
      </c>
      <c r="Z42" s="15">
        <v>42000</v>
      </c>
      <c r="AA42" s="15">
        <v>80000</v>
      </c>
      <c r="AB42" s="15">
        <v>0</v>
      </c>
      <c r="AC42" s="15">
        <v>70000</v>
      </c>
      <c r="AD42" s="15">
        <v>25000</v>
      </c>
      <c r="AE42" s="16">
        <f t="shared" si="0"/>
        <v>13944525</v>
      </c>
      <c r="AF42" s="17">
        <f>10939+176</f>
        <v>11115</v>
      </c>
      <c r="AG42" s="15">
        <f>13126800+183500</f>
        <v>13310300</v>
      </c>
      <c r="AH42" s="14">
        <v>642</v>
      </c>
      <c r="AI42" s="15">
        <v>469720</v>
      </c>
      <c r="AJ42" s="15">
        <v>319300</v>
      </c>
      <c r="AK42" s="15">
        <v>0</v>
      </c>
      <c r="AL42" s="15">
        <f>499500+162000</f>
        <v>661500</v>
      </c>
      <c r="AM42" s="15">
        <v>179730</v>
      </c>
      <c r="AN42" s="15">
        <v>58500</v>
      </c>
      <c r="AO42" s="18">
        <f t="shared" si="1"/>
        <v>14999050</v>
      </c>
      <c r="AP42" s="19">
        <f t="shared" si="2"/>
        <v>1054525</v>
      </c>
      <c r="AQ42" s="20">
        <v>790894</v>
      </c>
      <c r="AR42" s="21">
        <f t="shared" si="3"/>
        <v>0.75000023707356389</v>
      </c>
      <c r="AS42" s="14">
        <f>AF42+AH42</f>
        <v>11757</v>
      </c>
      <c r="AT42" s="22">
        <f>165+21</f>
        <v>186</v>
      </c>
      <c r="AU42" s="14">
        <v>100</v>
      </c>
      <c r="AV42" s="23">
        <f>SUM(AS42:AU42)-F42</f>
        <v>43</v>
      </c>
      <c r="AW42" s="24">
        <f>AT42/F42</f>
        <v>1.55E-2</v>
      </c>
      <c r="AX42" s="15">
        <f>G42/F42</f>
        <v>84.4</v>
      </c>
      <c r="AY42" s="15">
        <f>E42/D42</f>
        <v>281682.18298555381</v>
      </c>
      <c r="AZ42" s="15">
        <f>SUM(AI42+AG42)/SUM(AH42+AF42)</f>
        <v>1172.0694054605767</v>
      </c>
      <c r="BA42" s="13">
        <f>B42</f>
        <v>45782</v>
      </c>
      <c r="BB42" s="14">
        <f t="shared" si="4"/>
        <v>42</v>
      </c>
    </row>
    <row r="43" spans="1:54" x14ac:dyDescent="0.35">
      <c r="A43" s="12" t="s">
        <v>81</v>
      </c>
      <c r="B43" s="13">
        <v>45789</v>
      </c>
      <c r="C43" s="13">
        <v>45847</v>
      </c>
      <c r="D43" s="14">
        <v>67.7</v>
      </c>
      <c r="E43" s="15">
        <v>19007125</v>
      </c>
      <c r="F43" s="14">
        <v>20075</v>
      </c>
      <c r="G43" s="15">
        <v>2871590</v>
      </c>
      <c r="H43" s="14">
        <v>35</v>
      </c>
      <c r="I43" s="15">
        <v>175000</v>
      </c>
      <c r="J43" s="14"/>
      <c r="K43" s="15">
        <v>476000</v>
      </c>
      <c r="L43" s="14">
        <v>91</v>
      </c>
      <c r="M43" s="15">
        <v>591500</v>
      </c>
      <c r="N43" s="15">
        <v>3507496</v>
      </c>
      <c r="O43" s="15">
        <v>264000</v>
      </c>
      <c r="P43" s="15">
        <v>83400</v>
      </c>
      <c r="Q43" s="15">
        <v>250000</v>
      </c>
      <c r="R43" s="15">
        <v>510000</v>
      </c>
      <c r="S43" s="15">
        <v>177000</v>
      </c>
      <c r="T43" s="15">
        <v>500000</v>
      </c>
      <c r="U43" s="15">
        <v>0</v>
      </c>
      <c r="V43" s="15">
        <v>0</v>
      </c>
      <c r="W43" s="15">
        <v>100000</v>
      </c>
      <c r="X43" s="15">
        <v>395650</v>
      </c>
      <c r="Y43" s="15">
        <v>70000</v>
      </c>
      <c r="Z43" s="15">
        <v>97800</v>
      </c>
      <c r="AA43" s="15">
        <v>80000</v>
      </c>
      <c r="AB43" s="15">
        <v>60000</v>
      </c>
      <c r="AC43" s="15">
        <v>24500</v>
      </c>
      <c r="AD43" s="15">
        <v>0</v>
      </c>
      <c r="AE43" s="16">
        <f t="shared" si="0"/>
        <v>29241061</v>
      </c>
      <c r="AF43" s="17">
        <v>16581</v>
      </c>
      <c r="AG43" s="15">
        <v>33133700</v>
      </c>
      <c r="AH43" s="14">
        <v>2050</v>
      </c>
      <c r="AI43" s="15">
        <v>2462950</v>
      </c>
      <c r="AJ43" s="15">
        <v>769200</v>
      </c>
      <c r="AK43" s="15">
        <v>51000</v>
      </c>
      <c r="AL43" s="15">
        <v>127300</v>
      </c>
      <c r="AM43" s="15">
        <v>72990</v>
      </c>
      <c r="AN43" s="15">
        <v>33000</v>
      </c>
      <c r="AO43" s="18">
        <f t="shared" si="1"/>
        <v>36650140</v>
      </c>
      <c r="AP43" s="19">
        <f t="shared" si="2"/>
        <v>7409079</v>
      </c>
      <c r="AQ43" s="20">
        <v>7409079</v>
      </c>
      <c r="AR43" s="21">
        <f t="shared" si="3"/>
        <v>1</v>
      </c>
      <c r="AS43" s="14">
        <v>18631</v>
      </c>
      <c r="AT43" s="22">
        <v>1341</v>
      </c>
      <c r="AU43" s="14">
        <v>130</v>
      </c>
      <c r="AV43" s="23">
        <v>27</v>
      </c>
      <c r="AW43" s="24">
        <v>6.679950186799502E-2</v>
      </c>
      <c r="AX43" s="15">
        <v>143.0430884184309</v>
      </c>
      <c r="AY43" s="15">
        <v>280755.16986706055</v>
      </c>
      <c r="AZ43" s="15">
        <v>1910.614030379475</v>
      </c>
      <c r="BA43" s="13">
        <v>45789</v>
      </c>
      <c r="BB43" s="14">
        <f t="shared" si="4"/>
        <v>58</v>
      </c>
    </row>
    <row r="44" spans="1:54" x14ac:dyDescent="0.35">
      <c r="A44" s="12" t="s">
        <v>80</v>
      </c>
      <c r="B44" s="13">
        <v>45792</v>
      </c>
      <c r="C44" s="13">
        <v>45845</v>
      </c>
      <c r="D44" s="14">
        <v>41</v>
      </c>
      <c r="E44" s="15">
        <v>11308525</v>
      </c>
      <c r="F44" s="14">
        <v>12000</v>
      </c>
      <c r="G44" s="15">
        <v>1718400</v>
      </c>
      <c r="H44" s="14">
        <v>21</v>
      </c>
      <c r="I44" s="15">
        <v>105000</v>
      </c>
      <c r="J44" s="14"/>
      <c r="K44" s="15">
        <v>90000</v>
      </c>
      <c r="L44" s="14">
        <v>105</v>
      </c>
      <c r="M44" s="15">
        <v>682500</v>
      </c>
      <c r="N44" s="15">
        <v>2750096</v>
      </c>
      <c r="O44" s="15">
        <v>152000</v>
      </c>
      <c r="P44" s="15">
        <v>108050</v>
      </c>
      <c r="Q44" s="15">
        <v>230000</v>
      </c>
      <c r="R44" s="15">
        <v>340000</v>
      </c>
      <c r="S44" s="15">
        <v>162000</v>
      </c>
      <c r="T44" s="15">
        <v>250000</v>
      </c>
      <c r="U44" s="15">
        <v>0</v>
      </c>
      <c r="V44" s="15">
        <v>100000</v>
      </c>
      <c r="W44" s="15">
        <v>50000</v>
      </c>
      <c r="X44" s="15">
        <v>228375</v>
      </c>
      <c r="Y44" s="15">
        <v>110460</v>
      </c>
      <c r="Z44" s="15">
        <v>42000</v>
      </c>
      <c r="AA44" s="15">
        <v>140000</v>
      </c>
      <c r="AB44" s="15">
        <v>0</v>
      </c>
      <c r="AC44" s="15">
        <v>40000</v>
      </c>
      <c r="AD44" s="15">
        <v>0</v>
      </c>
      <c r="AE44" s="16">
        <f t="shared" si="0"/>
        <v>18607406</v>
      </c>
      <c r="AF44" s="17">
        <v>9658</v>
      </c>
      <c r="AG44" s="15">
        <v>20748550</v>
      </c>
      <c r="AH44" s="14">
        <v>1388</v>
      </c>
      <c r="AI44" s="15">
        <v>2401080</v>
      </c>
      <c r="AJ44" s="15">
        <v>499000</v>
      </c>
      <c r="AK44" s="15">
        <v>104500</v>
      </c>
      <c r="AL44" s="15">
        <v>305400</v>
      </c>
      <c r="AM44" s="15">
        <v>171810</v>
      </c>
      <c r="AN44" s="15">
        <v>130000</v>
      </c>
      <c r="AO44" s="18">
        <f t="shared" si="1"/>
        <v>24360340</v>
      </c>
      <c r="AP44" s="19">
        <f t="shared" si="2"/>
        <v>5752934</v>
      </c>
      <c r="AQ44" s="20">
        <v>2876467</v>
      </c>
      <c r="AR44" s="21">
        <f t="shared" si="3"/>
        <v>0.5</v>
      </c>
      <c r="AS44" s="14">
        <v>11046</v>
      </c>
      <c r="AT44" s="22">
        <v>842</v>
      </c>
      <c r="AU44" s="14">
        <v>114</v>
      </c>
      <c r="AV44" s="23">
        <v>2</v>
      </c>
      <c r="AW44" s="24">
        <v>7.0166666666666669E-2</v>
      </c>
      <c r="AX44" s="15">
        <v>143.19999999999999</v>
      </c>
      <c r="AY44" s="15">
        <v>275817.68292682926</v>
      </c>
      <c r="AZ44" s="15">
        <v>2095.7477820025347</v>
      </c>
      <c r="BA44" s="13">
        <v>45792</v>
      </c>
      <c r="BB44" s="14">
        <f t="shared" si="4"/>
        <v>53</v>
      </c>
    </row>
    <row r="45" spans="1:54" x14ac:dyDescent="0.35">
      <c r="A45" s="12" t="s">
        <v>67</v>
      </c>
      <c r="B45" s="13">
        <v>45796</v>
      </c>
      <c r="C45" s="13">
        <v>45854</v>
      </c>
      <c r="D45" s="14">
        <v>33</v>
      </c>
      <c r="E45" s="15">
        <v>9196650</v>
      </c>
      <c r="F45" s="14">
        <v>10700</v>
      </c>
      <c r="G45" s="15">
        <v>2896500</v>
      </c>
      <c r="H45" s="14">
        <v>20</v>
      </c>
      <c r="I45" s="15">
        <v>100000</v>
      </c>
      <c r="J45" s="14"/>
      <c r="K45" s="15">
        <v>191500</v>
      </c>
      <c r="L45" s="14">
        <v>70</v>
      </c>
      <c r="M45" s="15">
        <v>455000</v>
      </c>
      <c r="N45" s="15">
        <v>2461812</v>
      </c>
      <c r="O45" s="15">
        <v>132000</v>
      </c>
      <c r="P45" s="15">
        <v>22500</v>
      </c>
      <c r="Q45" s="15">
        <v>191975</v>
      </c>
      <c r="R45" s="15">
        <v>340000</v>
      </c>
      <c r="S45" s="15">
        <v>197000</v>
      </c>
      <c r="T45" s="15">
        <v>300000</v>
      </c>
      <c r="U45" s="15">
        <v>0</v>
      </c>
      <c r="V45" s="15">
        <v>70000</v>
      </c>
      <c r="W45" s="15">
        <v>50000</v>
      </c>
      <c r="X45" s="15">
        <v>127575</v>
      </c>
      <c r="Y45" s="15">
        <v>83280</v>
      </c>
      <c r="Z45" s="15">
        <v>37450</v>
      </c>
      <c r="AA45" s="15">
        <v>50000</v>
      </c>
      <c r="AB45" s="15">
        <v>0</v>
      </c>
      <c r="AC45" s="15">
        <v>42000</v>
      </c>
      <c r="AD45" s="15">
        <v>0</v>
      </c>
      <c r="AE45" s="16">
        <f t="shared" si="0"/>
        <v>16945242</v>
      </c>
      <c r="AF45" s="17">
        <v>5370</v>
      </c>
      <c r="AG45" s="15">
        <v>10133300</v>
      </c>
      <c r="AH45" s="14">
        <v>2958</v>
      </c>
      <c r="AI45" s="15">
        <v>4109380</v>
      </c>
      <c r="AJ45" s="15">
        <v>399000</v>
      </c>
      <c r="AK45" s="15">
        <v>77000</v>
      </c>
      <c r="AL45" s="15">
        <v>161500</v>
      </c>
      <c r="AM45" s="15">
        <v>75780</v>
      </c>
      <c r="AN45" s="15">
        <v>43000</v>
      </c>
      <c r="AO45" s="18">
        <f t="shared" si="1"/>
        <v>14998960</v>
      </c>
      <c r="AP45" s="19">
        <f t="shared" si="2"/>
        <v>-1946282</v>
      </c>
      <c r="AQ45" s="20">
        <v>-1751653.8</v>
      </c>
      <c r="AR45" s="21">
        <f t="shared" si="3"/>
        <v>0.9</v>
      </c>
      <c r="AS45" s="14">
        <v>8328</v>
      </c>
      <c r="AT45" s="22">
        <v>2311</v>
      </c>
      <c r="AU45" s="14">
        <v>119</v>
      </c>
      <c r="AV45" s="23">
        <v>58</v>
      </c>
      <c r="AW45" s="24">
        <v>0.21598130841121496</v>
      </c>
      <c r="AX45" s="15">
        <v>270.70093457943926</v>
      </c>
      <c r="AY45" s="15">
        <v>278686.36363636365</v>
      </c>
      <c r="AZ45" s="15">
        <v>1710.2161383285302</v>
      </c>
      <c r="BA45" s="13">
        <v>45796</v>
      </c>
      <c r="BB45" s="14">
        <f t="shared" si="4"/>
        <v>58</v>
      </c>
    </row>
    <row r="46" spans="1:54" x14ac:dyDescent="0.35">
      <c r="A46" s="12" t="s">
        <v>85</v>
      </c>
      <c r="B46" s="13">
        <v>45803</v>
      </c>
      <c r="C46" s="13">
        <v>45862</v>
      </c>
      <c r="D46" s="14">
        <v>44.3</v>
      </c>
      <c r="E46" s="15">
        <v>12510287</v>
      </c>
      <c r="F46" s="14">
        <v>13000</v>
      </c>
      <c r="G46" s="15">
        <v>3900000</v>
      </c>
      <c r="H46" s="14">
        <v>35</v>
      </c>
      <c r="I46" s="15">
        <v>175000</v>
      </c>
      <c r="J46" s="14"/>
      <c r="K46" s="15">
        <v>171500</v>
      </c>
      <c r="L46" s="14">
        <v>75</v>
      </c>
      <c r="M46" s="15">
        <v>487500</v>
      </c>
      <c r="N46" s="15">
        <v>3123472</v>
      </c>
      <c r="O46" s="15">
        <v>172000</v>
      </c>
      <c r="P46" s="15">
        <v>10000</v>
      </c>
      <c r="Q46" s="15">
        <v>291975</v>
      </c>
      <c r="R46" s="15">
        <v>340000</v>
      </c>
      <c r="S46" s="15">
        <v>130500</v>
      </c>
      <c r="T46" s="15">
        <v>300000</v>
      </c>
      <c r="U46" s="15">
        <v>0</v>
      </c>
      <c r="V46" s="15">
        <v>70000</v>
      </c>
      <c r="W46" s="15">
        <v>50000</v>
      </c>
      <c r="X46" s="15">
        <v>206750</v>
      </c>
      <c r="Y46" s="15">
        <v>118850</v>
      </c>
      <c r="Z46" s="15">
        <v>45500</v>
      </c>
      <c r="AA46" s="15">
        <v>50000</v>
      </c>
      <c r="AB46" s="15">
        <v>10500</v>
      </c>
      <c r="AC46" s="15">
        <v>42000</v>
      </c>
      <c r="AD46" s="15">
        <v>74000</v>
      </c>
      <c r="AE46" s="16">
        <f t="shared" si="0"/>
        <v>22279834</v>
      </c>
      <c r="AF46" s="17">
        <v>8736</v>
      </c>
      <c r="AG46" s="15">
        <v>16493150</v>
      </c>
      <c r="AH46" s="14">
        <v>3149</v>
      </c>
      <c r="AI46" s="15">
        <v>6310540</v>
      </c>
      <c r="AJ46" s="15">
        <v>560000</v>
      </c>
      <c r="AK46" s="15">
        <v>112000</v>
      </c>
      <c r="AL46" s="15">
        <v>205500</v>
      </c>
      <c r="AM46" s="15">
        <v>169110</v>
      </c>
      <c r="AN46" s="15">
        <v>69500</v>
      </c>
      <c r="AO46" s="18">
        <f t="shared" si="1"/>
        <v>23919800</v>
      </c>
      <c r="AP46" s="19">
        <f t="shared" si="2"/>
        <v>1639966</v>
      </c>
      <c r="AQ46" s="20">
        <v>1475969.4000000001</v>
      </c>
      <c r="AR46" s="21">
        <f t="shared" si="3"/>
        <v>0.90000000000000013</v>
      </c>
      <c r="AS46" s="14">
        <v>11885</v>
      </c>
      <c r="AT46" s="22">
        <v>1015</v>
      </c>
      <c r="AU46" s="14">
        <v>121</v>
      </c>
      <c r="AV46" s="23">
        <v>21</v>
      </c>
      <c r="AW46" s="24">
        <v>7.8076923076923072E-2</v>
      </c>
      <c r="AX46" s="15">
        <v>300</v>
      </c>
      <c r="AY46" s="15">
        <v>282399.25507900678</v>
      </c>
      <c r="AZ46" s="15">
        <v>1918.6949936895246</v>
      </c>
      <c r="BA46" s="13">
        <v>45803</v>
      </c>
      <c r="BB46" s="14">
        <f t="shared" si="4"/>
        <v>59</v>
      </c>
    </row>
    <row r="47" spans="1:54" x14ac:dyDescent="0.35">
      <c r="A47" s="12" t="s">
        <v>66</v>
      </c>
      <c r="B47" s="13">
        <v>45803</v>
      </c>
      <c r="C47" s="13">
        <v>45858</v>
      </c>
      <c r="D47" s="14">
        <v>48.7</v>
      </c>
      <c r="E47" s="15">
        <v>13756312.5</v>
      </c>
      <c r="F47" s="14">
        <v>13316</v>
      </c>
      <c r="G47" s="15">
        <v>3994296</v>
      </c>
      <c r="H47" s="14">
        <v>25</v>
      </c>
      <c r="I47" s="15">
        <v>125000</v>
      </c>
      <c r="J47" s="14"/>
      <c r="K47" s="15">
        <v>384000</v>
      </c>
      <c r="L47" s="14">
        <v>40</v>
      </c>
      <c r="M47" s="15">
        <v>260000</v>
      </c>
      <c r="N47" s="15">
        <v>2138350</v>
      </c>
      <c r="O47" s="15">
        <v>168000</v>
      </c>
      <c r="P47" s="15">
        <v>56700</v>
      </c>
      <c r="Q47" s="15">
        <v>230000</v>
      </c>
      <c r="R47" s="15">
        <v>340000</v>
      </c>
      <c r="S47" s="15">
        <v>168000</v>
      </c>
      <c r="T47" s="15">
        <v>290000</v>
      </c>
      <c r="U47" s="15">
        <v>0</v>
      </c>
      <c r="V47" s="15">
        <v>100000</v>
      </c>
      <c r="W47" s="15">
        <v>0</v>
      </c>
      <c r="X47" s="15">
        <v>142000</v>
      </c>
      <c r="Y47" s="15">
        <v>118310</v>
      </c>
      <c r="Z47" s="15">
        <v>46550</v>
      </c>
      <c r="AA47" s="15">
        <v>80000</v>
      </c>
      <c r="AB47" s="15">
        <v>0</v>
      </c>
      <c r="AC47" s="15">
        <v>70000</v>
      </c>
      <c r="AD47" s="15">
        <v>55000</v>
      </c>
      <c r="AE47" s="16">
        <f t="shared" si="0"/>
        <v>22522518.5</v>
      </c>
      <c r="AF47" s="17">
        <v>7205</v>
      </c>
      <c r="AG47" s="15">
        <v>16892900</v>
      </c>
      <c r="AH47" s="14">
        <v>4626</v>
      </c>
      <c r="AI47" s="15">
        <v>6952420</v>
      </c>
      <c r="AJ47" s="15">
        <v>600000</v>
      </c>
      <c r="AK47" s="15">
        <v>36000</v>
      </c>
      <c r="AL47" s="15">
        <v>308000</v>
      </c>
      <c r="AM47" s="15">
        <v>246600</v>
      </c>
      <c r="AN47" s="15">
        <v>0</v>
      </c>
      <c r="AO47" s="18">
        <f t="shared" si="1"/>
        <v>25035920</v>
      </c>
      <c r="AP47" s="19">
        <f t="shared" si="2"/>
        <v>2513401.5</v>
      </c>
      <c r="AQ47" s="20">
        <v>1256700.75</v>
      </c>
      <c r="AR47" s="21">
        <f t="shared" si="3"/>
        <v>0.5</v>
      </c>
      <c r="AS47" s="14">
        <v>11831</v>
      </c>
      <c r="AT47" s="22">
        <v>1386</v>
      </c>
      <c r="AU47" s="14">
        <v>100</v>
      </c>
      <c r="AV47" s="23">
        <v>1</v>
      </c>
      <c r="AW47" s="24">
        <v>0.10408531090417543</v>
      </c>
      <c r="AX47" s="15">
        <v>299.96215079603485</v>
      </c>
      <c r="AY47" s="15">
        <v>282470.48254620121</v>
      </c>
      <c r="AZ47" s="15">
        <v>2015.4948863156114</v>
      </c>
      <c r="BA47" s="13">
        <v>45803</v>
      </c>
      <c r="BB47" s="14">
        <f t="shared" si="4"/>
        <v>55</v>
      </c>
    </row>
    <row r="48" spans="1:54" x14ac:dyDescent="0.35">
      <c r="A48" s="12" t="s">
        <v>77</v>
      </c>
      <c r="B48" s="13">
        <v>45810</v>
      </c>
      <c r="C48" s="13">
        <v>45867</v>
      </c>
      <c r="D48" s="14">
        <v>94.3</v>
      </c>
      <c r="E48" s="15">
        <v>27122212.5</v>
      </c>
      <c r="F48" s="14">
        <v>26820</v>
      </c>
      <c r="G48" s="15">
        <v>6205780</v>
      </c>
      <c r="H48" s="14">
        <v>80</v>
      </c>
      <c r="I48" s="15">
        <v>400000</v>
      </c>
      <c r="J48" s="14"/>
      <c r="K48" s="15">
        <v>894400</v>
      </c>
      <c r="L48" s="14">
        <v>180</v>
      </c>
      <c r="M48" s="15">
        <v>1170000</v>
      </c>
      <c r="N48" s="15">
        <v>4557200</v>
      </c>
      <c r="O48" s="15">
        <v>558000</v>
      </c>
      <c r="P48" s="15">
        <v>73900</v>
      </c>
      <c r="Q48" s="15">
        <v>673000</v>
      </c>
      <c r="R48" s="15">
        <v>850000</v>
      </c>
      <c r="S48" s="15">
        <v>550000</v>
      </c>
      <c r="T48" s="15">
        <v>1000000</v>
      </c>
      <c r="U48" s="15">
        <v>0</v>
      </c>
      <c r="V48" s="15">
        <v>200000</v>
      </c>
      <c r="W48" s="15">
        <v>0</v>
      </c>
      <c r="X48" s="15">
        <v>0</v>
      </c>
      <c r="Y48" s="15">
        <v>0</v>
      </c>
      <c r="Z48" s="15">
        <v>0</v>
      </c>
      <c r="AA48" s="15">
        <v>250000</v>
      </c>
      <c r="AB48" s="15">
        <v>0</v>
      </c>
      <c r="AC48" s="15">
        <v>200000</v>
      </c>
      <c r="AD48" s="15">
        <v>336250</v>
      </c>
      <c r="AE48" s="16">
        <f t="shared" si="0"/>
        <v>45040742.5</v>
      </c>
      <c r="AF48" s="17">
        <v>14785</v>
      </c>
      <c r="AG48" s="15">
        <v>39149790</v>
      </c>
      <c r="AH48" s="14">
        <v>6995</v>
      </c>
      <c r="AI48" s="15">
        <v>10309460</v>
      </c>
      <c r="AJ48" s="15">
        <v>1250000</v>
      </c>
      <c r="AK48" s="15">
        <v>237750</v>
      </c>
      <c r="AL48" s="15">
        <v>458000</v>
      </c>
      <c r="AM48" s="15">
        <f>469554+300060</f>
        <v>769614</v>
      </c>
      <c r="AN48" s="15">
        <v>0</v>
      </c>
      <c r="AO48" s="18">
        <f t="shared" si="1"/>
        <v>52174614</v>
      </c>
      <c r="AP48" s="19">
        <f t="shared" si="2"/>
        <v>7133871.5</v>
      </c>
      <c r="AQ48" s="20">
        <f>AP48*50%</f>
        <v>3566935.75</v>
      </c>
      <c r="AR48" s="21">
        <f t="shared" si="3"/>
        <v>0.5</v>
      </c>
      <c r="AS48" s="14">
        <f>AF48+AH48</f>
        <v>21780</v>
      </c>
      <c r="AT48" s="22">
        <v>5082</v>
      </c>
      <c r="AU48" s="14">
        <v>0</v>
      </c>
      <c r="AV48" s="23">
        <f>SUM(AS48:AU48)-F48</f>
        <v>42</v>
      </c>
      <c r="AW48" s="24">
        <f>AT48/F48</f>
        <v>0.18948545861297539</v>
      </c>
      <c r="AX48" s="15">
        <f>G48/F48</f>
        <v>231.386278896346</v>
      </c>
      <c r="AY48" s="15">
        <f>E48/D48</f>
        <v>287616.25132555672</v>
      </c>
      <c r="AZ48" s="15">
        <f>SUM(AI48+AG48)/SUM(AH48+AF48)</f>
        <v>2270.8562901744722</v>
      </c>
      <c r="BA48" s="13">
        <f>B48</f>
        <v>45810</v>
      </c>
      <c r="BB48" s="14">
        <f t="shared" si="4"/>
        <v>57</v>
      </c>
    </row>
    <row r="49" spans="1:54" x14ac:dyDescent="0.35">
      <c r="A49" s="12" t="s">
        <v>86</v>
      </c>
      <c r="B49" s="13">
        <v>45813</v>
      </c>
      <c r="C49" s="13">
        <v>45865</v>
      </c>
      <c r="D49" s="14">
        <v>45</v>
      </c>
      <c r="E49" s="15">
        <v>12821425</v>
      </c>
      <c r="F49" s="14">
        <v>12700</v>
      </c>
      <c r="G49" s="15">
        <v>2689860</v>
      </c>
      <c r="H49" s="14">
        <v>25</v>
      </c>
      <c r="I49" s="15">
        <v>125000</v>
      </c>
      <c r="J49" s="14"/>
      <c r="K49" s="15">
        <v>360000</v>
      </c>
      <c r="L49" s="14">
        <v>80</v>
      </c>
      <c r="M49" s="15">
        <v>520000</v>
      </c>
      <c r="N49" s="15">
        <v>1839692</v>
      </c>
      <c r="O49" s="15">
        <v>150500</v>
      </c>
      <c r="P49" s="15">
        <v>67000</v>
      </c>
      <c r="Q49" s="15">
        <v>200000</v>
      </c>
      <c r="R49" s="15">
        <v>340000</v>
      </c>
      <c r="S49" s="15">
        <v>162000</v>
      </c>
      <c r="T49" s="15">
        <v>290000</v>
      </c>
      <c r="U49" s="15">
        <v>0</v>
      </c>
      <c r="V49" s="15">
        <v>100000</v>
      </c>
      <c r="W49" s="15">
        <v>50000</v>
      </c>
      <c r="X49" s="15">
        <v>252975</v>
      </c>
      <c r="Y49" s="15">
        <v>122560</v>
      </c>
      <c r="Z49" s="15">
        <v>44450</v>
      </c>
      <c r="AA49" s="15">
        <v>80000</v>
      </c>
      <c r="AB49" s="15">
        <v>0</v>
      </c>
      <c r="AC49" s="15">
        <v>70000</v>
      </c>
      <c r="AD49" s="15">
        <v>0</v>
      </c>
      <c r="AE49" s="16">
        <f t="shared" si="0"/>
        <v>20285462</v>
      </c>
      <c r="AF49" s="17">
        <v>10239</v>
      </c>
      <c r="AG49" s="15">
        <v>20973800</v>
      </c>
      <c r="AH49" s="14">
        <v>2017</v>
      </c>
      <c r="AI49" s="15">
        <v>2354820</v>
      </c>
      <c r="AJ49" s="15">
        <v>569300</v>
      </c>
      <c r="AK49" s="15">
        <v>60000</v>
      </c>
      <c r="AL49" s="15">
        <v>619380</v>
      </c>
      <c r="AM49" s="15">
        <v>81522</v>
      </c>
      <c r="AN49" s="15">
        <v>130000</v>
      </c>
      <c r="AO49" s="18">
        <f t="shared" si="1"/>
        <v>24788822</v>
      </c>
      <c r="AP49" s="19">
        <f t="shared" si="2"/>
        <v>4503360</v>
      </c>
      <c r="AQ49" s="20">
        <v>2927184</v>
      </c>
      <c r="AR49" s="21">
        <f t="shared" si="3"/>
        <v>0.65</v>
      </c>
      <c r="AS49" s="14">
        <v>12256</v>
      </c>
      <c r="AT49" s="22">
        <v>294</v>
      </c>
      <c r="AU49" s="14">
        <v>142</v>
      </c>
      <c r="AV49" s="23">
        <f>SUM(AS49:AU49)-F49</f>
        <v>-8</v>
      </c>
      <c r="AW49" s="24">
        <f>AT49/F49</f>
        <v>2.3149606299212599E-2</v>
      </c>
      <c r="AX49" s="15">
        <f>G49/F49</f>
        <v>211.8</v>
      </c>
      <c r="AY49" s="15">
        <f>E49/D49</f>
        <v>284920.55555555556</v>
      </c>
      <c r="AZ49" s="15">
        <f>SUM(AI49+AG49)/SUM(AH49+AF49)</f>
        <v>1903.4448433420366</v>
      </c>
      <c r="BA49" s="13">
        <f>B49</f>
        <v>45813</v>
      </c>
      <c r="BB49" s="14">
        <f t="shared" si="4"/>
        <v>52</v>
      </c>
    </row>
    <row r="50" spans="1:54" x14ac:dyDescent="0.35">
      <c r="A50" s="12" t="s">
        <v>65</v>
      </c>
      <c r="B50" s="13">
        <v>45813</v>
      </c>
      <c r="C50" s="13">
        <v>45869</v>
      </c>
      <c r="D50" s="14">
        <v>43.4</v>
      </c>
      <c r="E50" s="15">
        <v>12708225</v>
      </c>
      <c r="F50" s="14">
        <v>12500</v>
      </c>
      <c r="G50" s="15">
        <v>2648550</v>
      </c>
      <c r="H50" s="14">
        <v>20</v>
      </c>
      <c r="I50" s="15">
        <v>100000</v>
      </c>
      <c r="J50" s="14"/>
      <c r="K50" s="15">
        <v>336000</v>
      </c>
      <c r="L50" s="14">
        <v>37</v>
      </c>
      <c r="M50" s="15">
        <v>240500</v>
      </c>
      <c r="N50" s="15">
        <v>2219010</v>
      </c>
      <c r="O50" s="15">
        <v>195000</v>
      </c>
      <c r="P50" s="15">
        <v>70800</v>
      </c>
      <c r="Q50" s="15">
        <v>200000</v>
      </c>
      <c r="R50" s="15">
        <v>340000</v>
      </c>
      <c r="S50" s="15">
        <v>171000</v>
      </c>
      <c r="T50" s="15">
        <v>250000</v>
      </c>
      <c r="U50" s="15">
        <v>0</v>
      </c>
      <c r="V50" s="15">
        <v>100000</v>
      </c>
      <c r="W50" s="15">
        <v>50000</v>
      </c>
      <c r="X50" s="15">
        <v>253725</v>
      </c>
      <c r="Y50" s="15">
        <v>111920</v>
      </c>
      <c r="Z50" s="15">
        <v>43750</v>
      </c>
      <c r="AA50" s="15">
        <v>80000</v>
      </c>
      <c r="AB50" s="15">
        <v>40250</v>
      </c>
      <c r="AC50" s="15">
        <v>70000</v>
      </c>
      <c r="AD50" s="15">
        <v>48000</v>
      </c>
      <c r="AE50" s="16">
        <f t="shared" si="0"/>
        <v>20276730</v>
      </c>
      <c r="AF50" s="17">
        <v>10468</v>
      </c>
      <c r="AG50" s="15">
        <v>21917350</v>
      </c>
      <c r="AH50" s="14">
        <v>724</v>
      </c>
      <c r="AI50" s="15">
        <v>441340</v>
      </c>
      <c r="AJ50" s="15">
        <v>550000</v>
      </c>
      <c r="AK50" s="15">
        <v>44000</v>
      </c>
      <c r="AL50" s="15">
        <v>433650</v>
      </c>
      <c r="AM50" s="15">
        <v>75960</v>
      </c>
      <c r="AN50" s="15">
        <v>74000</v>
      </c>
      <c r="AO50" s="18">
        <f t="shared" si="1"/>
        <v>23536300</v>
      </c>
      <c r="AP50" s="19">
        <f t="shared" si="2"/>
        <v>3259570</v>
      </c>
      <c r="AQ50" s="20">
        <f>AP50*75%</f>
        <v>2444677.5</v>
      </c>
      <c r="AR50" s="21">
        <f t="shared" si="3"/>
        <v>0.75</v>
      </c>
      <c r="AS50" s="14">
        <v>11192</v>
      </c>
      <c r="AT50" s="22">
        <v>1153</v>
      </c>
      <c r="AU50" s="14">
        <v>137</v>
      </c>
      <c r="AV50" s="23">
        <v>-18</v>
      </c>
      <c r="AW50" s="24">
        <f>AT50/F50</f>
        <v>9.2240000000000003E-2</v>
      </c>
      <c r="AX50" s="15">
        <f>G50/F50</f>
        <v>211.88399999999999</v>
      </c>
      <c r="AY50" s="15">
        <f>E50/D50</f>
        <v>292816.24423963134</v>
      </c>
      <c r="AZ50" s="15">
        <f>SUM(AI50+AG50)/SUM(AH50+AF50)</f>
        <v>1997.738563259471</v>
      </c>
      <c r="BA50" s="13">
        <f>B50</f>
        <v>45813</v>
      </c>
      <c r="BB50" s="14">
        <f t="shared" si="4"/>
        <v>56</v>
      </c>
    </row>
    <row r="51" spans="1:54" x14ac:dyDescent="0.35">
      <c r="A51" s="12" t="s">
        <v>82</v>
      </c>
      <c r="B51" s="13">
        <v>45816</v>
      </c>
      <c r="C51" s="13">
        <v>45871</v>
      </c>
      <c r="D51" s="14">
        <v>32.450000000000003</v>
      </c>
      <c r="E51" s="15">
        <v>9349160</v>
      </c>
      <c r="F51" s="14">
        <v>10765</v>
      </c>
      <c r="G51" s="15">
        <v>2702090</v>
      </c>
      <c r="H51" s="14">
        <v>18</v>
      </c>
      <c r="I51" s="15">
        <v>90000</v>
      </c>
      <c r="J51" s="14"/>
      <c r="K51" s="15">
        <v>300000</v>
      </c>
      <c r="L51" s="14">
        <v>95</v>
      </c>
      <c r="M51" s="15">
        <v>617500</v>
      </c>
      <c r="N51" s="15">
        <v>2185100</v>
      </c>
      <c r="O51" s="15">
        <v>155000</v>
      </c>
      <c r="P51" s="15">
        <v>46000</v>
      </c>
      <c r="Q51" s="15">
        <v>200000</v>
      </c>
      <c r="R51" s="15">
        <v>340000</v>
      </c>
      <c r="S51" s="15">
        <v>162000</v>
      </c>
      <c r="T51" s="15">
        <v>250000</v>
      </c>
      <c r="U51" s="15">
        <v>0</v>
      </c>
      <c r="V51" s="15">
        <v>100000</v>
      </c>
      <c r="W51" s="15">
        <v>50000</v>
      </c>
      <c r="X51" s="15">
        <v>178175</v>
      </c>
      <c r="Y51" s="15">
        <v>93530</v>
      </c>
      <c r="Z51" s="15">
        <v>86120</v>
      </c>
      <c r="AA51" s="15">
        <v>80000</v>
      </c>
      <c r="AB51" s="15">
        <v>0</v>
      </c>
      <c r="AC51" s="15">
        <v>70000</v>
      </c>
      <c r="AD51" s="15">
        <v>88250</v>
      </c>
      <c r="AE51" s="16">
        <f t="shared" si="0"/>
        <v>17142925</v>
      </c>
      <c r="AF51" s="17">
        <v>7190</v>
      </c>
      <c r="AG51" s="15">
        <v>13330700</v>
      </c>
      <c r="AH51" s="14">
        <v>2163</v>
      </c>
      <c r="AI51" s="15">
        <v>3928930</v>
      </c>
      <c r="AJ51" s="15">
        <v>450000</v>
      </c>
      <c r="AK51" s="15">
        <v>15000</v>
      </c>
      <c r="AL51" s="15">
        <v>15000</v>
      </c>
      <c r="AM51" s="15">
        <v>36810</v>
      </c>
      <c r="AN51" s="15">
        <v>216500</v>
      </c>
      <c r="AO51" s="18">
        <f t="shared" si="1"/>
        <v>17992940</v>
      </c>
      <c r="AP51" s="19">
        <f t="shared" si="2"/>
        <v>850015</v>
      </c>
      <c r="AQ51" s="20">
        <v>637511.25</v>
      </c>
      <c r="AR51" s="21">
        <f t="shared" si="3"/>
        <v>0.75</v>
      </c>
      <c r="AS51" s="14">
        <v>9353</v>
      </c>
      <c r="AT51" s="22">
        <v>1348</v>
      </c>
      <c r="AU51" s="14">
        <v>102</v>
      </c>
      <c r="AV51" s="23">
        <v>38</v>
      </c>
      <c r="AW51" s="24">
        <v>0.12522062238736648</v>
      </c>
      <c r="AX51" s="15">
        <v>251.00696702275894</v>
      </c>
      <c r="AY51" s="15">
        <v>288109.70724191063</v>
      </c>
      <c r="AZ51" s="15">
        <v>1845.3576392601303</v>
      </c>
      <c r="BA51" s="13">
        <v>45816</v>
      </c>
      <c r="BB51" s="14">
        <f t="shared" si="4"/>
        <v>55</v>
      </c>
    </row>
    <row r="52" spans="1:54" x14ac:dyDescent="0.35">
      <c r="A52" s="12" t="s">
        <v>83</v>
      </c>
      <c r="B52" s="13">
        <v>45817</v>
      </c>
      <c r="C52" s="13">
        <v>45873</v>
      </c>
      <c r="D52" s="14">
        <v>33.799999999999997</v>
      </c>
      <c r="E52" s="15">
        <v>9985400</v>
      </c>
      <c r="F52" s="14">
        <v>11000</v>
      </c>
      <c r="G52" s="15">
        <v>2761000</v>
      </c>
      <c r="H52" s="14">
        <v>30</v>
      </c>
      <c r="I52" s="15">
        <v>125000</v>
      </c>
      <c r="J52" s="14"/>
      <c r="K52" s="15">
        <v>259500</v>
      </c>
      <c r="L52" s="14">
        <v>80</v>
      </c>
      <c r="M52" s="15">
        <v>520000</v>
      </c>
      <c r="N52" s="15">
        <v>2973680</v>
      </c>
      <c r="O52" s="15">
        <v>134000</v>
      </c>
      <c r="P52" s="15">
        <v>0</v>
      </c>
      <c r="Q52" s="15">
        <v>219500</v>
      </c>
      <c r="R52" s="15">
        <v>340000</v>
      </c>
      <c r="S52" s="15">
        <v>129500</v>
      </c>
      <c r="T52" s="15">
        <v>250000</v>
      </c>
      <c r="U52" s="15">
        <v>0</v>
      </c>
      <c r="V52" s="15">
        <v>70000</v>
      </c>
      <c r="W52" s="15">
        <v>50000</v>
      </c>
      <c r="X52" s="15">
        <v>29300</v>
      </c>
      <c r="Y52" s="15">
        <v>0</v>
      </c>
      <c r="Z52" s="15">
        <v>88000</v>
      </c>
      <c r="AA52" s="15">
        <v>50000</v>
      </c>
      <c r="AB52" s="15">
        <v>26250</v>
      </c>
      <c r="AC52" s="15">
        <v>42000</v>
      </c>
      <c r="AD52" s="15">
        <v>30000</v>
      </c>
      <c r="AE52" s="16">
        <f t="shared" si="0"/>
        <v>18083130</v>
      </c>
      <c r="AF52" s="17">
        <v>1279</v>
      </c>
      <c r="AG52" s="15">
        <v>2393400</v>
      </c>
      <c r="AH52" s="14">
        <v>6846</v>
      </c>
      <c r="AI52" s="15">
        <v>13696560</v>
      </c>
      <c r="AJ52" s="15">
        <v>459000</v>
      </c>
      <c r="AK52" s="15">
        <v>61200</v>
      </c>
      <c r="AL52" s="15">
        <v>154000</v>
      </c>
      <c r="AM52" s="15">
        <v>165150</v>
      </c>
      <c r="AN52" s="15">
        <v>0</v>
      </c>
      <c r="AO52" s="18">
        <f t="shared" si="1"/>
        <v>16929310</v>
      </c>
      <c r="AP52" s="19">
        <f t="shared" si="2"/>
        <v>-1153820</v>
      </c>
      <c r="AQ52" s="20">
        <v>-1038438</v>
      </c>
      <c r="AR52" s="21">
        <f t="shared" si="3"/>
        <v>0.9</v>
      </c>
      <c r="AS52" s="14">
        <v>8125</v>
      </c>
      <c r="AT52" s="22">
        <v>2838</v>
      </c>
      <c r="AU52" s="14">
        <v>61</v>
      </c>
      <c r="AV52" s="23">
        <v>24</v>
      </c>
      <c r="AW52" s="24">
        <v>0.25800000000000001</v>
      </c>
      <c r="AX52" s="15">
        <v>251</v>
      </c>
      <c r="AY52" s="15">
        <v>295426.03550295858</v>
      </c>
      <c r="AZ52" s="15">
        <v>1980.3027692307692</v>
      </c>
      <c r="BA52" s="13">
        <v>45817</v>
      </c>
      <c r="BB52" s="14">
        <f t="shared" si="4"/>
        <v>56</v>
      </c>
    </row>
    <row r="53" spans="1:54" x14ac:dyDescent="0.35">
      <c r="A53" s="12" t="s">
        <v>61</v>
      </c>
      <c r="B53" s="13">
        <v>45820</v>
      </c>
      <c r="C53" s="13">
        <v>45870</v>
      </c>
      <c r="D53" s="14">
        <v>37.75</v>
      </c>
      <c r="E53" s="15">
        <v>11127354.5</v>
      </c>
      <c r="F53" s="14">
        <v>11000</v>
      </c>
      <c r="G53" s="15">
        <v>2761000</v>
      </c>
      <c r="H53" s="14">
        <v>30</v>
      </c>
      <c r="I53" s="15">
        <v>130000</v>
      </c>
      <c r="J53" s="14"/>
      <c r="K53" s="15">
        <v>308000</v>
      </c>
      <c r="L53" s="14">
        <v>71</v>
      </c>
      <c r="M53" s="15">
        <v>461500</v>
      </c>
      <c r="N53" s="15">
        <v>2161790</v>
      </c>
      <c r="O53" s="15">
        <v>126000</v>
      </c>
      <c r="P53" s="15">
        <v>82800</v>
      </c>
      <c r="Q53" s="15">
        <v>200000</v>
      </c>
      <c r="R53" s="15">
        <v>340000</v>
      </c>
      <c r="S53" s="15">
        <v>153000</v>
      </c>
      <c r="T53" s="15">
        <v>300000</v>
      </c>
      <c r="U53" s="15">
        <v>0</v>
      </c>
      <c r="V53" s="15">
        <v>100000</v>
      </c>
      <c r="W53" s="15">
        <v>50000</v>
      </c>
      <c r="X53" s="15">
        <v>186875</v>
      </c>
      <c r="Y53" s="15">
        <v>99500</v>
      </c>
      <c r="Z53" s="15">
        <v>88000</v>
      </c>
      <c r="AA53" s="15">
        <v>80000</v>
      </c>
      <c r="AB53" s="15">
        <v>15750</v>
      </c>
      <c r="AC53" s="15">
        <v>70000</v>
      </c>
      <c r="AD53" s="15">
        <v>29200</v>
      </c>
      <c r="AE53" s="16">
        <f t="shared" si="0"/>
        <v>18870769.5</v>
      </c>
      <c r="AF53" s="17">
        <v>7598</v>
      </c>
      <c r="AG53" s="15">
        <v>14942700</v>
      </c>
      <c r="AH53" s="14">
        <v>2598</v>
      </c>
      <c r="AI53" s="15">
        <v>5336050</v>
      </c>
      <c r="AJ53" s="15">
        <v>499000</v>
      </c>
      <c r="AK53" s="15">
        <v>45000</v>
      </c>
      <c r="AL53" s="15">
        <v>473707</v>
      </c>
      <c r="AM53" s="15">
        <v>13410</v>
      </c>
      <c r="AN53" s="15">
        <v>0</v>
      </c>
      <c r="AO53" s="18">
        <f t="shared" si="1"/>
        <v>21309867</v>
      </c>
      <c r="AP53" s="19">
        <f t="shared" si="2"/>
        <v>2439097.5</v>
      </c>
      <c r="AQ53" s="20">
        <f>AP53*70%</f>
        <v>1707368.25</v>
      </c>
      <c r="AR53" s="21">
        <f t="shared" si="3"/>
        <v>0.7</v>
      </c>
      <c r="AS53" s="14">
        <v>10196</v>
      </c>
      <c r="AT53" s="22">
        <v>685</v>
      </c>
      <c r="AU53" s="14">
        <v>108</v>
      </c>
      <c r="AV53" s="23">
        <v>-11</v>
      </c>
      <c r="AW53" s="24">
        <f>AT53/F53</f>
        <v>6.2272727272727271E-2</v>
      </c>
      <c r="AX53" s="15">
        <f>G53/F53</f>
        <v>251</v>
      </c>
      <c r="AY53" s="15">
        <f>E53/D53</f>
        <v>294764.35761589406</v>
      </c>
      <c r="AZ53" s="15">
        <f>SUM(AI53+AG53)/SUM(AH53+AF53)</f>
        <v>1988.8927030207924</v>
      </c>
      <c r="BA53" s="13">
        <f>B53</f>
        <v>45820</v>
      </c>
      <c r="BB53" s="14">
        <f t="shared" si="4"/>
        <v>50</v>
      </c>
    </row>
    <row r="54" spans="1:54" x14ac:dyDescent="0.35">
      <c r="A54" s="12" t="s">
        <v>64</v>
      </c>
      <c r="B54" s="13">
        <v>45824</v>
      </c>
      <c r="C54" s="13">
        <v>45877</v>
      </c>
      <c r="D54" s="14">
        <v>40.700000000000003</v>
      </c>
      <c r="E54" s="15">
        <v>12170617</v>
      </c>
      <c r="F54" s="14">
        <v>12028</v>
      </c>
      <c r="G54" s="15">
        <v>3018918</v>
      </c>
      <c r="H54" s="14">
        <v>25</v>
      </c>
      <c r="I54" s="15">
        <v>95000</v>
      </c>
      <c r="J54" s="14"/>
      <c r="K54" s="15">
        <v>324000</v>
      </c>
      <c r="L54" s="14">
        <v>98</v>
      </c>
      <c r="M54" s="15">
        <v>637000</v>
      </c>
      <c r="N54" s="15">
        <v>2839532</v>
      </c>
      <c r="O54" s="15">
        <v>140000</v>
      </c>
      <c r="P54" s="15">
        <v>62700</v>
      </c>
      <c r="Q54" s="15">
        <v>200000</v>
      </c>
      <c r="R54" s="15">
        <v>340000</v>
      </c>
      <c r="S54" s="15">
        <v>162000</v>
      </c>
      <c r="T54" s="15">
        <v>290000</v>
      </c>
      <c r="U54" s="15">
        <v>0</v>
      </c>
      <c r="V54" s="15">
        <v>100000</v>
      </c>
      <c r="W54" s="15">
        <v>50000</v>
      </c>
      <c r="X54" s="15">
        <v>218050</v>
      </c>
      <c r="Y54" s="15">
        <v>105920</v>
      </c>
      <c r="Z54" s="15">
        <v>95624</v>
      </c>
      <c r="AA54" s="15">
        <v>80000</v>
      </c>
      <c r="AB54" s="15">
        <v>43750</v>
      </c>
      <c r="AC54" s="15">
        <v>70000</v>
      </c>
      <c r="AD54" s="15">
        <v>72260</v>
      </c>
      <c r="AE54" s="16">
        <f t="shared" si="0"/>
        <v>21115371</v>
      </c>
      <c r="AF54" s="17">
        <v>8860</v>
      </c>
      <c r="AG54" s="15">
        <v>17578950</v>
      </c>
      <c r="AH54" s="14">
        <v>1732</v>
      </c>
      <c r="AI54" s="15">
        <v>3228400</v>
      </c>
      <c r="AJ54" s="15">
        <v>599000</v>
      </c>
      <c r="AK54" s="15">
        <v>14000</v>
      </c>
      <c r="AL54" s="15">
        <v>584800</v>
      </c>
      <c r="AM54" s="15">
        <v>408672</v>
      </c>
      <c r="AN54" s="15">
        <v>143000</v>
      </c>
      <c r="AO54" s="18">
        <f t="shared" si="1"/>
        <v>22556822</v>
      </c>
      <c r="AP54" s="19">
        <f t="shared" si="2"/>
        <v>1441451</v>
      </c>
      <c r="AQ54" s="20">
        <v>936943.15</v>
      </c>
      <c r="AR54" s="21">
        <f t="shared" si="3"/>
        <v>0.65</v>
      </c>
      <c r="AS54" s="14">
        <v>10592</v>
      </c>
      <c r="AT54" s="22">
        <v>1298</v>
      </c>
      <c r="AU54" s="14">
        <v>100</v>
      </c>
      <c r="AV54" s="23">
        <f>SUM(AS54:AU54)-F54</f>
        <v>-38</v>
      </c>
      <c r="AW54" s="24">
        <f>AT54/F54</f>
        <v>0.10791486531426671</v>
      </c>
      <c r="AX54" s="15">
        <f>G54/F54</f>
        <v>250.990854672431</v>
      </c>
      <c r="AY54" s="15">
        <f>E54/D54</f>
        <v>299032.35872235871</v>
      </c>
      <c r="AZ54" s="15">
        <f>SUM(AI54+AG54)/SUM(AH54+AF54)</f>
        <v>1964.4401435045318</v>
      </c>
      <c r="BA54" s="13">
        <f>B54</f>
        <v>45824</v>
      </c>
      <c r="BB54" s="14">
        <f t="shared" si="4"/>
        <v>53</v>
      </c>
    </row>
    <row r="55" spans="1:54" x14ac:dyDescent="0.35">
      <c r="A55" s="12" t="s">
        <v>84</v>
      </c>
      <c r="B55" s="13">
        <v>45827</v>
      </c>
      <c r="C55" s="13">
        <v>45873</v>
      </c>
      <c r="D55" s="14">
        <v>32.25</v>
      </c>
      <c r="E55" s="15">
        <v>9460075</v>
      </c>
      <c r="F55" s="14">
        <v>10792</v>
      </c>
      <c r="G55" s="15">
        <v>3026032</v>
      </c>
      <c r="H55" s="14">
        <v>25</v>
      </c>
      <c r="I55" s="15">
        <v>95000</v>
      </c>
      <c r="J55" s="14"/>
      <c r="K55" s="15">
        <v>256000</v>
      </c>
      <c r="L55" s="14">
        <v>126</v>
      </c>
      <c r="M55" s="15">
        <v>819000</v>
      </c>
      <c r="N55" s="15">
        <v>1727880</v>
      </c>
      <c r="O55" s="15">
        <v>80000</v>
      </c>
      <c r="P55" s="15">
        <v>33450</v>
      </c>
      <c r="Q55" s="15">
        <v>200000</v>
      </c>
      <c r="R55" s="15">
        <v>340000</v>
      </c>
      <c r="S55" s="15">
        <v>102500</v>
      </c>
      <c r="T55" s="15">
        <v>300000</v>
      </c>
      <c r="U55" s="15">
        <v>0</v>
      </c>
      <c r="V55" s="15">
        <v>100000</v>
      </c>
      <c r="W55" s="15">
        <v>50000</v>
      </c>
      <c r="X55" s="15">
        <v>149275</v>
      </c>
      <c r="Y55" s="15">
        <v>103880</v>
      </c>
      <c r="Z55" s="15">
        <v>85888</v>
      </c>
      <c r="AA55" s="15">
        <v>60000</v>
      </c>
      <c r="AB55" s="15">
        <v>0</v>
      </c>
      <c r="AC55" s="15">
        <v>70000</v>
      </c>
      <c r="AD55" s="15">
        <v>22250</v>
      </c>
      <c r="AE55" s="16">
        <f t="shared" si="0"/>
        <v>17081230</v>
      </c>
      <c r="AF55" s="17">
        <v>6125</v>
      </c>
      <c r="AG55" s="15">
        <v>9890150</v>
      </c>
      <c r="AH55" s="14">
        <v>4263</v>
      </c>
      <c r="AI55" s="15">
        <v>7492320</v>
      </c>
      <c r="AJ55" s="15">
        <v>498500</v>
      </c>
      <c r="AK55" s="15">
        <v>28000</v>
      </c>
      <c r="AL55" s="15">
        <v>0</v>
      </c>
      <c r="AM55" s="15">
        <v>48000</v>
      </c>
      <c r="AN55" s="15">
        <f>156000+65000</f>
        <v>221000</v>
      </c>
      <c r="AO55" s="18">
        <f t="shared" si="1"/>
        <v>18177970</v>
      </c>
      <c r="AP55" s="19">
        <f t="shared" si="2"/>
        <v>1096740</v>
      </c>
      <c r="AQ55" s="19">
        <v>712881</v>
      </c>
      <c r="AR55" s="21">
        <f t="shared" si="3"/>
        <v>0.65</v>
      </c>
      <c r="AS55" s="14">
        <v>10388</v>
      </c>
      <c r="AT55" s="22">
        <v>305</v>
      </c>
      <c r="AU55" s="14">
        <v>112</v>
      </c>
      <c r="AV55" s="23">
        <f>SUM(AS55:AU55)-F55</f>
        <v>13</v>
      </c>
      <c r="AW55" s="24">
        <f>AT55/F55</f>
        <v>2.8261675315048185E-2</v>
      </c>
      <c r="AX55" s="15">
        <f>G55/F55</f>
        <v>280.39584877687173</v>
      </c>
      <c r="AY55" s="15">
        <f>E55/D55</f>
        <v>293335.65891472867</v>
      </c>
      <c r="AZ55" s="15">
        <f>SUM(AI55+AG55)/SUM(AH55+AF55)</f>
        <v>1673.322102425876</v>
      </c>
      <c r="BA55" s="13">
        <f>B55</f>
        <v>45827</v>
      </c>
      <c r="BB55" s="14">
        <f t="shared" si="4"/>
        <v>46</v>
      </c>
    </row>
    <row r="56" spans="1:54" x14ac:dyDescent="0.35">
      <c r="A56" s="12" t="s">
        <v>70</v>
      </c>
      <c r="B56" s="13">
        <v>45827</v>
      </c>
      <c r="C56" s="13">
        <v>45877</v>
      </c>
      <c r="D56" s="14">
        <v>28.75</v>
      </c>
      <c r="E56" s="15">
        <v>8485025</v>
      </c>
      <c r="F56" s="14">
        <v>11000</v>
      </c>
      <c r="G56" s="15">
        <v>3084400</v>
      </c>
      <c r="H56" s="14">
        <v>31</v>
      </c>
      <c r="I56" s="15">
        <v>145000</v>
      </c>
      <c r="J56" s="14"/>
      <c r="K56" s="15">
        <v>192000</v>
      </c>
      <c r="L56" s="14">
        <v>140</v>
      </c>
      <c r="M56" s="15">
        <v>910000</v>
      </c>
      <c r="N56" s="15">
        <v>2174460</v>
      </c>
      <c r="O56" s="15">
        <v>85500</v>
      </c>
      <c r="P56" s="15">
        <v>62650</v>
      </c>
      <c r="Q56" s="15">
        <v>200000</v>
      </c>
      <c r="R56" s="15">
        <v>340000</v>
      </c>
      <c r="S56" s="15">
        <v>104000</v>
      </c>
      <c r="T56" s="15">
        <v>250000</v>
      </c>
      <c r="U56" s="15">
        <v>0</v>
      </c>
      <c r="V56" s="15">
        <v>100000</v>
      </c>
      <c r="W56" s="15">
        <v>50000</v>
      </c>
      <c r="X56" s="15">
        <v>62400</v>
      </c>
      <c r="Y56" s="15">
        <v>87450</v>
      </c>
      <c r="Z56" s="15">
        <v>87568</v>
      </c>
      <c r="AA56" s="15">
        <v>80000</v>
      </c>
      <c r="AB56" s="15">
        <v>14000</v>
      </c>
      <c r="AC56" s="15">
        <v>70000</v>
      </c>
      <c r="AD56" s="15">
        <v>214666.66999999998</v>
      </c>
      <c r="AE56" s="16">
        <f t="shared" si="0"/>
        <v>16799119.670000002</v>
      </c>
      <c r="AF56" s="17">
        <v>2980</v>
      </c>
      <c r="AG56" s="15">
        <v>5008100</v>
      </c>
      <c r="AH56" s="14">
        <v>5764</v>
      </c>
      <c r="AI56" s="15">
        <v>7470860</v>
      </c>
      <c r="AJ56" s="15">
        <v>499300</v>
      </c>
      <c r="AK56" s="15">
        <v>62000</v>
      </c>
      <c r="AL56" s="15">
        <v>48000</v>
      </c>
      <c r="AM56" s="15">
        <v>30690</v>
      </c>
      <c r="AN56" s="15">
        <v>7500</v>
      </c>
      <c r="AO56" s="18">
        <f t="shared" si="1"/>
        <v>13126450</v>
      </c>
      <c r="AP56" s="19">
        <f t="shared" si="2"/>
        <v>-3672669.6700000018</v>
      </c>
      <c r="AQ56" s="20">
        <f>AP56*75%</f>
        <v>-2754502.2525000013</v>
      </c>
      <c r="AR56" s="21">
        <f t="shared" si="3"/>
        <v>0.75</v>
      </c>
      <c r="AS56" s="14">
        <v>8744</v>
      </c>
      <c r="AT56" s="25">
        <v>2172</v>
      </c>
      <c r="AU56" s="26">
        <v>110</v>
      </c>
      <c r="AV56" s="23">
        <v>26</v>
      </c>
      <c r="AW56" s="24">
        <f>AT56/F56</f>
        <v>0.19745454545454547</v>
      </c>
      <c r="AX56" s="15">
        <f>G56/F56</f>
        <v>280.39999999999998</v>
      </c>
      <c r="AY56" s="15">
        <f>E56/D56</f>
        <v>295131.30434782611</v>
      </c>
      <c r="AZ56" s="15">
        <f>SUM(AI56+AG56)/SUM(AH56+AF56)</f>
        <v>1427.1454711802378</v>
      </c>
      <c r="BA56" s="13">
        <f>B56</f>
        <v>45827</v>
      </c>
      <c r="BB56" s="14">
        <f t="shared" si="4"/>
        <v>50</v>
      </c>
    </row>
    <row r="57" spans="1:54" x14ac:dyDescent="0.35">
      <c r="A57" s="12" t="s">
        <v>75</v>
      </c>
      <c r="B57" s="13">
        <v>45831</v>
      </c>
      <c r="C57" s="13">
        <v>45889</v>
      </c>
      <c r="D57" s="14">
        <v>38</v>
      </c>
      <c r="E57" s="15">
        <v>11340055</v>
      </c>
      <c r="F57" s="14">
        <v>12379</v>
      </c>
      <c r="G57" s="15">
        <v>3713574</v>
      </c>
      <c r="H57" s="14">
        <v>30</v>
      </c>
      <c r="I57" s="15">
        <v>132000</v>
      </c>
      <c r="J57" s="14"/>
      <c r="K57" s="15">
        <v>304000</v>
      </c>
      <c r="L57" s="14">
        <v>97</v>
      </c>
      <c r="M57" s="15">
        <v>630500</v>
      </c>
      <c r="N57" s="15">
        <v>2741780</v>
      </c>
      <c r="O57" s="15">
        <v>122500</v>
      </c>
      <c r="P57" s="15">
        <v>75700</v>
      </c>
      <c r="Q57" s="15">
        <v>230000</v>
      </c>
      <c r="R57" s="15">
        <v>340000</v>
      </c>
      <c r="S57" s="15">
        <v>177000</v>
      </c>
      <c r="T57" s="15">
        <v>250000</v>
      </c>
      <c r="U57" s="15">
        <v>40000</v>
      </c>
      <c r="V57" s="15">
        <v>100000</v>
      </c>
      <c r="W57" s="15">
        <v>0</v>
      </c>
      <c r="X57" s="15">
        <v>18150</v>
      </c>
      <c r="Y57" s="15">
        <v>81620</v>
      </c>
      <c r="Z57" s="15">
        <v>98336</v>
      </c>
      <c r="AA57" s="15">
        <v>80000</v>
      </c>
      <c r="AB57" s="15">
        <v>12250</v>
      </c>
      <c r="AC57" s="15">
        <v>70000</v>
      </c>
      <c r="AD57" s="15">
        <v>6000</v>
      </c>
      <c r="AE57" s="16">
        <f t="shared" si="0"/>
        <v>20563465</v>
      </c>
      <c r="AF57" s="17">
        <v>2138</v>
      </c>
      <c r="AG57" s="15">
        <v>4556850</v>
      </c>
      <c r="AH57" s="14">
        <v>6024</v>
      </c>
      <c r="AI57" s="15">
        <v>14237180</v>
      </c>
      <c r="AJ57" s="15">
        <v>549000</v>
      </c>
      <c r="AK57" s="15">
        <v>15000</v>
      </c>
      <c r="AL57" s="15">
        <v>0</v>
      </c>
      <c r="AM57" s="15">
        <v>508410</v>
      </c>
      <c r="AN57" s="15">
        <v>227500</v>
      </c>
      <c r="AO57" s="18">
        <f t="shared" si="1"/>
        <v>20093940</v>
      </c>
      <c r="AP57" s="19">
        <f t="shared" si="2"/>
        <v>-469525</v>
      </c>
      <c r="AQ57" s="20">
        <v>-234762.5</v>
      </c>
      <c r="AR57" s="21">
        <f t="shared" si="3"/>
        <v>0.5</v>
      </c>
      <c r="AS57" s="14">
        <v>8162</v>
      </c>
      <c r="AT57" s="22">
        <v>4119</v>
      </c>
      <c r="AU57" s="14">
        <v>100</v>
      </c>
      <c r="AV57" s="23">
        <v>2</v>
      </c>
      <c r="AW57" s="24">
        <v>0.33274093222392764</v>
      </c>
      <c r="AX57" s="15">
        <v>299.98982147184751</v>
      </c>
      <c r="AY57" s="15">
        <v>298422.5</v>
      </c>
      <c r="AZ57" s="15">
        <v>2302.6255819652047</v>
      </c>
      <c r="BA57" s="13">
        <v>45831</v>
      </c>
      <c r="BB57" s="14">
        <f t="shared" si="4"/>
        <v>58</v>
      </c>
    </row>
    <row r="58" spans="1:54" x14ac:dyDescent="0.35">
      <c r="A58" s="12" t="s">
        <v>69</v>
      </c>
      <c r="B58" s="13">
        <v>45834</v>
      </c>
      <c r="C58" s="13">
        <v>45890</v>
      </c>
      <c r="D58" s="14">
        <v>41.1</v>
      </c>
      <c r="E58" s="15">
        <v>12627247</v>
      </c>
      <c r="F58" s="14">
        <v>12600</v>
      </c>
      <c r="G58" s="15">
        <v>4026960</v>
      </c>
      <c r="H58" s="14">
        <v>35</v>
      </c>
      <c r="I58" s="15">
        <v>130000</v>
      </c>
      <c r="J58" s="14"/>
      <c r="K58" s="15">
        <v>104500</v>
      </c>
      <c r="L58" s="14">
        <v>80</v>
      </c>
      <c r="M58" s="15">
        <v>520000</v>
      </c>
      <c r="N58" s="15">
        <v>2986572</v>
      </c>
      <c r="O58" s="15">
        <v>143500</v>
      </c>
      <c r="P58" s="15">
        <v>65450</v>
      </c>
      <c r="Q58" s="15">
        <v>200000</v>
      </c>
      <c r="R58" s="15">
        <v>340000</v>
      </c>
      <c r="S58" s="15">
        <v>142500</v>
      </c>
      <c r="T58" s="15">
        <v>250000</v>
      </c>
      <c r="U58" s="15">
        <v>0</v>
      </c>
      <c r="V58" s="15">
        <v>0</v>
      </c>
      <c r="W58" s="15">
        <v>100000</v>
      </c>
      <c r="X58" s="15">
        <v>219400</v>
      </c>
      <c r="Y58" s="15">
        <v>111220</v>
      </c>
      <c r="Z58" s="15">
        <v>100144</v>
      </c>
      <c r="AA58" s="15">
        <v>80000</v>
      </c>
      <c r="AB58" s="15">
        <v>42000</v>
      </c>
      <c r="AC58" s="15">
        <v>65500</v>
      </c>
      <c r="AD58" s="15">
        <v>17500</v>
      </c>
      <c r="AE58" s="16">
        <f t="shared" si="0"/>
        <v>22272493</v>
      </c>
      <c r="AF58" s="17">
        <v>8864</v>
      </c>
      <c r="AG58" s="15">
        <v>18232850</v>
      </c>
      <c r="AH58" s="14">
        <v>2258</v>
      </c>
      <c r="AI58" s="15">
        <v>4282610</v>
      </c>
      <c r="AJ58" s="15">
        <v>600000</v>
      </c>
      <c r="AK58" s="15">
        <v>63000</v>
      </c>
      <c r="AL58" s="15">
        <v>48000</v>
      </c>
      <c r="AM58" s="15">
        <v>160902</v>
      </c>
      <c r="AN58" s="15">
        <v>39000</v>
      </c>
      <c r="AO58" s="18">
        <f t="shared" si="1"/>
        <v>23426362</v>
      </c>
      <c r="AP58" s="19">
        <f t="shared" si="2"/>
        <v>1153869</v>
      </c>
      <c r="AQ58" s="20">
        <v>865401.75</v>
      </c>
      <c r="AR58" s="21">
        <f t="shared" si="3"/>
        <v>0.75</v>
      </c>
      <c r="AS58" s="14">
        <v>11122</v>
      </c>
      <c r="AT58" s="22">
        <v>1403</v>
      </c>
      <c r="AU58" s="14">
        <v>111</v>
      </c>
      <c r="AV58" s="23">
        <v>36</v>
      </c>
      <c r="AW58" s="24">
        <v>0.11134920634920635</v>
      </c>
      <c r="AX58" s="15">
        <v>319.60000000000002</v>
      </c>
      <c r="AY58" s="15">
        <v>307232.28710462287</v>
      </c>
      <c r="AZ58" s="15">
        <v>2024.4074806689443</v>
      </c>
      <c r="BA58" s="13">
        <v>45834</v>
      </c>
      <c r="BB58" s="14">
        <f t="shared" si="4"/>
        <v>56</v>
      </c>
    </row>
    <row r="59" spans="1:54" x14ac:dyDescent="0.35">
      <c r="A59" s="12" t="s">
        <v>60</v>
      </c>
      <c r="B59" s="13">
        <v>45838</v>
      </c>
      <c r="C59" s="13">
        <v>45892</v>
      </c>
      <c r="D59" s="14">
        <v>30.55</v>
      </c>
      <c r="E59" s="15">
        <v>9498250</v>
      </c>
      <c r="F59" s="14">
        <v>11890</v>
      </c>
      <c r="G59" s="15">
        <v>3799980</v>
      </c>
      <c r="H59" s="14">
        <v>20</v>
      </c>
      <c r="I59" s="15">
        <v>100000</v>
      </c>
      <c r="J59" s="14"/>
      <c r="K59" s="15">
        <v>248000</v>
      </c>
      <c r="L59" s="14">
        <v>61</v>
      </c>
      <c r="M59" s="15">
        <v>396500</v>
      </c>
      <c r="N59" s="15">
        <v>2784080</v>
      </c>
      <c r="O59" s="15">
        <v>145000</v>
      </c>
      <c r="P59" s="15">
        <v>77900</v>
      </c>
      <c r="Q59" s="15">
        <v>200000</v>
      </c>
      <c r="R59" s="15">
        <v>340000</v>
      </c>
      <c r="S59" s="15">
        <v>165000</v>
      </c>
      <c r="T59" s="15">
        <v>300000</v>
      </c>
      <c r="U59" s="15">
        <v>0</v>
      </c>
      <c r="V59" s="15">
        <v>100000</v>
      </c>
      <c r="W59" s="15">
        <v>50000</v>
      </c>
      <c r="X59" s="15">
        <v>153150</v>
      </c>
      <c r="Y59" s="15">
        <v>82190</v>
      </c>
      <c r="Z59" s="15">
        <v>94560</v>
      </c>
      <c r="AA59" s="15">
        <v>80000</v>
      </c>
      <c r="AB59" s="15">
        <v>15750</v>
      </c>
      <c r="AC59" s="15">
        <v>70000</v>
      </c>
      <c r="AD59" s="15">
        <v>41000</v>
      </c>
      <c r="AE59" s="16">
        <f t="shared" si="0"/>
        <v>18741360</v>
      </c>
      <c r="AF59" s="17">
        <v>6797</v>
      </c>
      <c r="AG59" s="15">
        <v>15071250</v>
      </c>
      <c r="AH59" s="14">
        <v>1422</v>
      </c>
      <c r="AI59" s="15">
        <v>2252370</v>
      </c>
      <c r="AJ59" s="15">
        <v>420000</v>
      </c>
      <c r="AK59" s="15">
        <v>16000</v>
      </c>
      <c r="AL59" s="15">
        <v>0</v>
      </c>
      <c r="AM59" s="15">
        <v>413650</v>
      </c>
      <c r="AN59" s="15">
        <v>50000</v>
      </c>
      <c r="AO59" s="18">
        <f t="shared" si="1"/>
        <v>18223270</v>
      </c>
      <c r="AP59" s="19">
        <f t="shared" si="2"/>
        <v>-518090</v>
      </c>
      <c r="AQ59" s="20">
        <f>AP59*75%</f>
        <v>-388567.5</v>
      </c>
      <c r="AR59" s="21">
        <f t="shared" si="3"/>
        <v>0.75</v>
      </c>
      <c r="AS59" s="14">
        <v>8219</v>
      </c>
      <c r="AT59" s="22">
        <v>3515</v>
      </c>
      <c r="AU59" s="14">
        <v>136</v>
      </c>
      <c r="AV59" s="23">
        <v>-20</v>
      </c>
      <c r="AW59" s="24">
        <f>AT59/F59</f>
        <v>0.29562657695542471</v>
      </c>
      <c r="AX59" s="15">
        <f>G59/F59</f>
        <v>319.59461732548363</v>
      </c>
      <c r="AY59" s="15">
        <f>E59/D59</f>
        <v>310908.34697217675</v>
      </c>
      <c r="AZ59" s="15">
        <f>SUM(AI59+AG59)/SUM(AH59+AF59)</f>
        <v>2107.7527679766395</v>
      </c>
      <c r="BA59" s="13">
        <f>B59</f>
        <v>45838</v>
      </c>
      <c r="BB59" s="14">
        <f t="shared" si="4"/>
        <v>54</v>
      </c>
    </row>
    <row r="60" spans="1:54" x14ac:dyDescent="0.35">
      <c r="A60" s="12" t="s">
        <v>71</v>
      </c>
      <c r="B60" s="13">
        <v>45841</v>
      </c>
      <c r="C60" s="13">
        <v>45883</v>
      </c>
      <c r="D60" s="14">
        <v>12.1</v>
      </c>
      <c r="E60" s="15">
        <v>3776175</v>
      </c>
      <c r="F60" s="14">
        <v>10770</v>
      </c>
      <c r="G60" s="15">
        <v>3442220</v>
      </c>
      <c r="H60" s="14">
        <v>20</v>
      </c>
      <c r="I60" s="15">
        <v>100000</v>
      </c>
      <c r="J60" s="14"/>
      <c r="K60" s="15">
        <v>195500</v>
      </c>
      <c r="L60" s="14">
        <v>83</v>
      </c>
      <c r="M60" s="15">
        <v>539500</v>
      </c>
      <c r="N60" s="15">
        <v>1576614</v>
      </c>
      <c r="O60" s="15">
        <v>48000</v>
      </c>
      <c r="P60" s="15">
        <v>10000</v>
      </c>
      <c r="Q60" s="15">
        <v>150250</v>
      </c>
      <c r="R60" s="15">
        <v>340000</v>
      </c>
      <c r="S60" s="15">
        <v>101000</v>
      </c>
      <c r="T60" s="15">
        <v>250000</v>
      </c>
      <c r="U60" s="15">
        <v>0</v>
      </c>
      <c r="V60" s="15">
        <v>70000</v>
      </c>
      <c r="W60" s="15">
        <v>50000</v>
      </c>
      <c r="X60" s="15">
        <v>58500</v>
      </c>
      <c r="Y60" s="15">
        <v>0</v>
      </c>
      <c r="Z60" s="15">
        <v>85860</v>
      </c>
      <c r="AA60" s="15">
        <v>50000</v>
      </c>
      <c r="AB60" s="15">
        <v>8500</v>
      </c>
      <c r="AC60" s="15">
        <v>42000</v>
      </c>
      <c r="AD60" s="15">
        <v>127000</v>
      </c>
      <c r="AE60" s="16">
        <f t="shared" si="0"/>
        <v>11021119</v>
      </c>
      <c r="AF60" s="17">
        <v>2531</v>
      </c>
      <c r="AG60" s="15">
        <v>4810400</v>
      </c>
      <c r="AH60" s="14">
        <v>623</v>
      </c>
      <c r="AI60" s="15">
        <v>702580</v>
      </c>
      <c r="AJ60" s="15">
        <v>159300</v>
      </c>
      <c r="AK60" s="15">
        <v>16000</v>
      </c>
      <c r="AL60" s="15">
        <v>0</v>
      </c>
      <c r="AM60" s="15">
        <v>188712</v>
      </c>
      <c r="AN60" s="15">
        <v>10000</v>
      </c>
      <c r="AO60" s="18">
        <f t="shared" si="1"/>
        <v>5886992</v>
      </c>
      <c r="AP60" s="19">
        <f t="shared" si="2"/>
        <v>-5134127</v>
      </c>
      <c r="AQ60" s="20">
        <v>-4620714.3</v>
      </c>
      <c r="AR60" s="21">
        <f t="shared" si="3"/>
        <v>0.89999999999999991</v>
      </c>
      <c r="AS60" s="14">
        <v>3154</v>
      </c>
      <c r="AT60" s="22">
        <v>7598</v>
      </c>
      <c r="AU60" s="14">
        <v>49</v>
      </c>
      <c r="AV60" s="23">
        <v>31</v>
      </c>
      <c r="AW60" s="24">
        <v>0.70547818012999075</v>
      </c>
      <c r="AX60" s="15">
        <v>319.61188486536673</v>
      </c>
      <c r="AY60" s="15">
        <v>312080.57851239672</v>
      </c>
      <c r="AZ60" s="15">
        <v>1747.9327837666456</v>
      </c>
      <c r="BA60" s="13">
        <v>45841</v>
      </c>
      <c r="BB60" s="14">
        <f t="shared" si="4"/>
        <v>42</v>
      </c>
    </row>
    <row r="61" spans="1:54" x14ac:dyDescent="0.35">
      <c r="A61" s="12" t="s">
        <v>72</v>
      </c>
      <c r="B61" s="13">
        <v>45841</v>
      </c>
      <c r="C61" s="13">
        <v>45893</v>
      </c>
      <c r="D61" s="14">
        <v>39.049999999999997</v>
      </c>
      <c r="E61" s="15">
        <v>12167525</v>
      </c>
      <c r="F61" s="14">
        <v>11000</v>
      </c>
      <c r="G61" s="15">
        <v>3515600</v>
      </c>
      <c r="H61" s="14">
        <v>15</v>
      </c>
      <c r="I61" s="15">
        <v>75000</v>
      </c>
      <c r="J61" s="14"/>
      <c r="K61" s="15">
        <v>304000</v>
      </c>
      <c r="L61" s="14">
        <v>85</v>
      </c>
      <c r="M61" s="15">
        <v>552500</v>
      </c>
      <c r="N61" s="15">
        <v>2357502</v>
      </c>
      <c r="O61" s="15">
        <v>195000</v>
      </c>
      <c r="P61" s="15">
        <v>50100</v>
      </c>
      <c r="Q61" s="15">
        <v>200000</v>
      </c>
      <c r="R61" s="15">
        <v>340000</v>
      </c>
      <c r="S61" s="15">
        <v>159000</v>
      </c>
      <c r="T61" s="15">
        <v>250000</v>
      </c>
      <c r="U61" s="15">
        <v>0</v>
      </c>
      <c r="V61" s="15">
        <v>100000</v>
      </c>
      <c r="W61" s="15">
        <v>50000</v>
      </c>
      <c r="X61" s="15">
        <v>203225</v>
      </c>
      <c r="Y61" s="15">
        <v>99540</v>
      </c>
      <c r="Z61" s="15">
        <v>38500</v>
      </c>
      <c r="AA61" s="15">
        <v>80000</v>
      </c>
      <c r="AB61" s="15">
        <v>49000</v>
      </c>
      <c r="AC61" s="15">
        <v>70000</v>
      </c>
      <c r="AD61" s="15">
        <v>25600</v>
      </c>
      <c r="AE61" s="16">
        <f t="shared" si="0"/>
        <v>20882092</v>
      </c>
      <c r="AF61" s="17">
        <v>8142</v>
      </c>
      <c r="AG61" s="15">
        <v>20010600</v>
      </c>
      <c r="AH61" s="14">
        <v>1812</v>
      </c>
      <c r="AI61" s="15">
        <v>2483890</v>
      </c>
      <c r="AJ61" s="15">
        <v>520000</v>
      </c>
      <c r="AK61" s="15">
        <v>72000</v>
      </c>
      <c r="AL61" s="15">
        <v>721760</v>
      </c>
      <c r="AM61" s="15">
        <v>77400</v>
      </c>
      <c r="AN61" s="15">
        <v>53000</v>
      </c>
      <c r="AO61" s="18">
        <f t="shared" si="1"/>
        <v>23938650</v>
      </c>
      <c r="AP61" s="19">
        <f t="shared" si="2"/>
        <v>3056558</v>
      </c>
      <c r="AQ61" s="20">
        <v>2292418.5</v>
      </c>
      <c r="AR61" s="21">
        <f t="shared" si="3"/>
        <v>0.75</v>
      </c>
      <c r="AS61" s="14">
        <v>9954</v>
      </c>
      <c r="AT61" s="22">
        <v>908</v>
      </c>
      <c r="AU61" s="14">
        <v>104</v>
      </c>
      <c r="AV61" s="23">
        <v>-34</v>
      </c>
      <c r="AW61" s="24">
        <v>8.2545454545454547E-2</v>
      </c>
      <c r="AX61" s="15">
        <v>319.60000000000002</v>
      </c>
      <c r="AY61" s="15">
        <v>311588.34827144688</v>
      </c>
      <c r="AZ61" s="15">
        <v>2259.8442837050434</v>
      </c>
      <c r="BA61" s="13">
        <v>45841</v>
      </c>
      <c r="BB61" s="14">
        <f t="shared" si="4"/>
        <v>52</v>
      </c>
    </row>
    <row r="62" spans="1:54" x14ac:dyDescent="0.35">
      <c r="A62" s="12" t="s">
        <v>78</v>
      </c>
      <c r="B62" s="13">
        <v>45845</v>
      </c>
      <c r="C62" s="13">
        <v>45902</v>
      </c>
      <c r="D62" s="14">
        <v>42.1</v>
      </c>
      <c r="E62" s="15">
        <v>12992025</v>
      </c>
      <c r="F62" s="14">
        <v>11500</v>
      </c>
      <c r="G62" s="15">
        <v>3788100</v>
      </c>
      <c r="H62" s="14">
        <v>22</v>
      </c>
      <c r="I62" s="15">
        <v>110000</v>
      </c>
      <c r="J62" s="14"/>
      <c r="K62" s="15">
        <v>230000</v>
      </c>
      <c r="L62" s="14">
        <v>74</v>
      </c>
      <c r="M62" s="15">
        <v>481000</v>
      </c>
      <c r="N62" s="15">
        <v>2779052</v>
      </c>
      <c r="O62" s="15">
        <v>140000</v>
      </c>
      <c r="P62" s="15">
        <v>57100</v>
      </c>
      <c r="Q62" s="15">
        <v>200000</v>
      </c>
      <c r="R62" s="15">
        <v>340000</v>
      </c>
      <c r="S62" s="15">
        <v>174000</v>
      </c>
      <c r="T62" s="15">
        <v>290000</v>
      </c>
      <c r="U62" s="15">
        <v>0</v>
      </c>
      <c r="V62" s="15">
        <v>100000</v>
      </c>
      <c r="W62" s="15">
        <v>50000</v>
      </c>
      <c r="X62" s="15">
        <v>238850</v>
      </c>
      <c r="Y62" s="15">
        <v>105900</v>
      </c>
      <c r="Z62" s="15">
        <v>91580</v>
      </c>
      <c r="AA62" s="15">
        <v>80000</v>
      </c>
      <c r="AB62" s="15">
        <v>12250</v>
      </c>
      <c r="AC62" s="15">
        <v>70000</v>
      </c>
      <c r="AD62" s="15">
        <f>4050+60350</f>
        <v>64400</v>
      </c>
      <c r="AE62" s="16">
        <f t="shared" si="0"/>
        <v>22394257</v>
      </c>
      <c r="AF62" s="17">
        <v>9833</v>
      </c>
      <c r="AG62" s="15">
        <v>21679600</v>
      </c>
      <c r="AH62" s="14">
        <v>757</v>
      </c>
      <c r="AI62" s="15">
        <v>1269470</v>
      </c>
      <c r="AJ62" s="15">
        <v>599200</v>
      </c>
      <c r="AK62" s="15">
        <v>139500</v>
      </c>
      <c r="AL62" s="15">
        <v>996965</v>
      </c>
      <c r="AM62" s="15">
        <v>183240</v>
      </c>
      <c r="AN62" s="15">
        <v>136500</v>
      </c>
      <c r="AO62" s="18">
        <f t="shared" si="1"/>
        <v>25004475</v>
      </c>
      <c r="AP62" s="19">
        <f t="shared" si="2"/>
        <v>2610218</v>
      </c>
      <c r="AQ62" s="20">
        <v>1827152.5999999999</v>
      </c>
      <c r="AR62" s="21">
        <f t="shared" si="3"/>
        <v>0.7</v>
      </c>
      <c r="AS62" s="14">
        <v>10590</v>
      </c>
      <c r="AT62" s="22">
        <v>770</v>
      </c>
      <c r="AU62" s="14">
        <v>100</v>
      </c>
      <c r="AV62" s="23">
        <v>-40</v>
      </c>
      <c r="AW62" s="24">
        <v>6.6956521739130428E-2</v>
      </c>
      <c r="AX62" s="15">
        <v>329.4</v>
      </c>
      <c r="AY62" s="15">
        <v>308599.16864608077</v>
      </c>
      <c r="AZ62" s="15">
        <v>2167.0509915014163</v>
      </c>
      <c r="BA62" s="13">
        <v>45845</v>
      </c>
      <c r="BB62" s="14">
        <f t="shared" si="4"/>
        <v>57</v>
      </c>
    </row>
    <row r="63" spans="1:54" x14ac:dyDescent="0.35">
      <c r="A63" s="12" t="s">
        <v>62</v>
      </c>
      <c r="B63" s="13">
        <v>45848</v>
      </c>
      <c r="C63" s="13">
        <v>45904</v>
      </c>
      <c r="D63" s="14">
        <v>43</v>
      </c>
      <c r="E63" s="15">
        <v>13396400</v>
      </c>
      <c r="F63" s="14">
        <v>12700</v>
      </c>
      <c r="G63" s="15">
        <v>4183380</v>
      </c>
      <c r="H63" s="14">
        <v>29</v>
      </c>
      <c r="I63" s="15">
        <v>145000</v>
      </c>
      <c r="J63" s="14"/>
      <c r="K63" s="15">
        <v>309600</v>
      </c>
      <c r="L63" s="14">
        <v>100</v>
      </c>
      <c r="M63" s="15">
        <v>650000</v>
      </c>
      <c r="N63" s="15">
        <v>2752600</v>
      </c>
      <c r="O63" s="15">
        <v>172000</v>
      </c>
      <c r="P63" s="15">
        <v>63500</v>
      </c>
      <c r="Q63" s="15">
        <v>200000</v>
      </c>
      <c r="R63" s="15">
        <v>340000</v>
      </c>
      <c r="S63" s="15">
        <v>142500</v>
      </c>
      <c r="T63" s="15">
        <v>250000</v>
      </c>
      <c r="U63" s="15">
        <v>0</v>
      </c>
      <c r="V63" s="15">
        <v>0</v>
      </c>
      <c r="W63" s="15">
        <v>100000</v>
      </c>
      <c r="X63" s="15">
        <v>244125</v>
      </c>
      <c r="Y63" s="15">
        <v>108880</v>
      </c>
      <c r="Z63" s="15">
        <v>44450</v>
      </c>
      <c r="AA63" s="15">
        <v>80000</v>
      </c>
      <c r="AB63" s="15">
        <v>36750</v>
      </c>
      <c r="AC63" s="15">
        <v>70000</v>
      </c>
      <c r="AD63" s="15">
        <v>76666.667000000001</v>
      </c>
      <c r="AE63" s="16">
        <f t="shared" si="0"/>
        <v>23365851.666999999</v>
      </c>
      <c r="AF63" s="17">
        <v>10233</v>
      </c>
      <c r="AG63" s="15">
        <v>23092100</v>
      </c>
      <c r="AH63" s="14">
        <v>655</v>
      </c>
      <c r="AI63" s="15">
        <v>544700</v>
      </c>
      <c r="AJ63" s="15">
        <v>650000</v>
      </c>
      <c r="AK63" s="15">
        <v>14000</v>
      </c>
      <c r="AL63" s="15">
        <v>128000</v>
      </c>
      <c r="AM63" s="15">
        <v>289710</v>
      </c>
      <c r="AN63" s="15">
        <v>85000</v>
      </c>
      <c r="AO63" s="18">
        <f t="shared" si="1"/>
        <v>24803510</v>
      </c>
      <c r="AP63" s="19">
        <f t="shared" si="2"/>
        <v>1437658.3330000006</v>
      </c>
      <c r="AQ63" s="20">
        <v>1078243.75</v>
      </c>
      <c r="AR63" s="21">
        <f t="shared" si="3"/>
        <v>0.75000000017389357</v>
      </c>
      <c r="AS63" s="14">
        <v>10888</v>
      </c>
      <c r="AT63" s="22">
        <v>1691</v>
      </c>
      <c r="AU63" s="14">
        <v>108</v>
      </c>
      <c r="AV63" s="23">
        <v>-13</v>
      </c>
      <c r="AW63" s="24">
        <v>0.1331496062992126</v>
      </c>
      <c r="AX63" s="15">
        <v>329.4</v>
      </c>
      <c r="AY63" s="15">
        <v>311544.18604651163</v>
      </c>
      <c r="AZ63" s="15">
        <v>2170.903747244673</v>
      </c>
      <c r="BA63" s="13">
        <v>45848</v>
      </c>
      <c r="BB63" s="14">
        <f t="shared" si="4"/>
        <v>56</v>
      </c>
    </row>
    <row r="64" spans="1:54" x14ac:dyDescent="0.35">
      <c r="A64" s="12" t="s">
        <v>79</v>
      </c>
      <c r="B64" s="13">
        <v>45855</v>
      </c>
      <c r="C64" s="13">
        <v>45912</v>
      </c>
      <c r="D64" s="14">
        <v>35</v>
      </c>
      <c r="E64" s="15">
        <v>11229383</v>
      </c>
      <c r="F64" s="14">
        <v>12696</v>
      </c>
      <c r="G64" s="15">
        <v>4182036</v>
      </c>
      <c r="H64" s="14">
        <v>20</v>
      </c>
      <c r="I64" s="15">
        <v>100000</v>
      </c>
      <c r="J64" s="14"/>
      <c r="K64" s="15">
        <v>280000</v>
      </c>
      <c r="L64" s="14">
        <v>60</v>
      </c>
      <c r="M64" s="15">
        <v>390000</v>
      </c>
      <c r="N64" s="15">
        <v>1832360</v>
      </c>
      <c r="O64" s="15">
        <v>175000</v>
      </c>
      <c r="P64" s="15">
        <v>65500</v>
      </c>
      <c r="Q64" s="15">
        <v>200000</v>
      </c>
      <c r="R64" s="15">
        <v>340000</v>
      </c>
      <c r="S64" s="15">
        <v>145000</v>
      </c>
      <c r="T64" s="15">
        <v>250000</v>
      </c>
      <c r="U64" s="15">
        <v>0</v>
      </c>
      <c r="V64" s="15">
        <v>100000</v>
      </c>
      <c r="W64" s="15">
        <v>50000</v>
      </c>
      <c r="X64" s="15">
        <v>163700</v>
      </c>
      <c r="Y64" s="15">
        <v>78370</v>
      </c>
      <c r="Z64" s="15">
        <v>43050</v>
      </c>
      <c r="AA64" s="15">
        <v>80000</v>
      </c>
      <c r="AB64" s="15">
        <v>38500</v>
      </c>
      <c r="AC64" s="15">
        <v>70000</v>
      </c>
      <c r="AD64" s="15">
        <v>20000</v>
      </c>
      <c r="AE64" s="16">
        <f t="shared" si="0"/>
        <v>19832899</v>
      </c>
      <c r="AF64" s="17">
        <v>6662</v>
      </c>
      <c r="AG64" s="15">
        <v>17417800</v>
      </c>
      <c r="AH64" s="14">
        <v>1175</v>
      </c>
      <c r="AI64" s="15">
        <v>947700</v>
      </c>
      <c r="AJ64" s="15">
        <v>414200</v>
      </c>
      <c r="AK64" s="15">
        <v>32000</v>
      </c>
      <c r="AL64" s="15">
        <v>112500</v>
      </c>
      <c r="AM64" s="15">
        <v>318720</v>
      </c>
      <c r="AN64" s="15">
        <v>20500</v>
      </c>
      <c r="AO64" s="18">
        <f t="shared" si="1"/>
        <v>19263420</v>
      </c>
      <c r="AP64" s="19">
        <f t="shared" si="2"/>
        <v>-569479</v>
      </c>
      <c r="AQ64" s="20">
        <f>AP64*75%</f>
        <v>-427109.25</v>
      </c>
      <c r="AR64" s="21">
        <f t="shared" si="3"/>
        <v>0.75</v>
      </c>
      <c r="AS64" s="14">
        <v>7837</v>
      </c>
      <c r="AT64" s="22">
        <v>4768</v>
      </c>
      <c r="AU64" s="14">
        <v>99</v>
      </c>
      <c r="AV64" s="23">
        <f>SUM(AS64:AU64)-F64</f>
        <v>8</v>
      </c>
      <c r="AW64" s="24">
        <f>AT64/F64</f>
        <v>0.37555135475740392</v>
      </c>
      <c r="AX64" s="15">
        <f>G64/F64</f>
        <v>329.39792060491493</v>
      </c>
      <c r="AY64" s="15">
        <f>E64/D64</f>
        <v>320839.51428571431</v>
      </c>
      <c r="AZ64" s="15">
        <f>SUM(AI64+AG64)/SUM(AH64+AF64)</f>
        <v>2343.4349878780145</v>
      </c>
      <c r="BA64" s="13">
        <f>B64</f>
        <v>45855</v>
      </c>
      <c r="BB64" s="14">
        <f t="shared" si="4"/>
        <v>57</v>
      </c>
    </row>
    <row r="65" spans="1:54" x14ac:dyDescent="0.35">
      <c r="A65" s="12" t="s">
        <v>73</v>
      </c>
      <c r="B65" s="13">
        <v>45859</v>
      </c>
      <c r="C65" s="13">
        <v>45911</v>
      </c>
      <c r="D65" s="14">
        <v>42.6</v>
      </c>
      <c r="E65" s="15">
        <v>13946413</v>
      </c>
      <c r="F65" s="14">
        <v>12613</v>
      </c>
      <c r="G65" s="15">
        <v>4154808</v>
      </c>
      <c r="H65" s="14">
        <v>32</v>
      </c>
      <c r="I65" s="15">
        <v>160000</v>
      </c>
      <c r="J65" s="14"/>
      <c r="K65" s="15">
        <v>366000</v>
      </c>
      <c r="L65" s="14">
        <v>96</v>
      </c>
      <c r="M65" s="15">
        <v>624000</v>
      </c>
      <c r="N65" s="15">
        <v>2045900</v>
      </c>
      <c r="O65" s="15">
        <v>147000</v>
      </c>
      <c r="P65" s="15">
        <v>59500</v>
      </c>
      <c r="Q65" s="15">
        <v>200000</v>
      </c>
      <c r="R65" s="15">
        <v>340000</v>
      </c>
      <c r="S65" s="15">
        <v>159000</v>
      </c>
      <c r="T65" s="15">
        <v>250000</v>
      </c>
      <c r="U65" s="15">
        <v>0</v>
      </c>
      <c r="V65" s="15">
        <v>100000</v>
      </c>
      <c r="W65" s="15">
        <v>50000</v>
      </c>
      <c r="X65" s="15">
        <v>298275</v>
      </c>
      <c r="Y65" s="15">
        <v>121970</v>
      </c>
      <c r="Z65" s="15">
        <v>44100</v>
      </c>
      <c r="AA65" s="15">
        <v>80000</v>
      </c>
      <c r="AB65" s="15">
        <v>24500</v>
      </c>
      <c r="AC65" s="15">
        <v>70000</v>
      </c>
      <c r="AD65" s="15">
        <v>20000</v>
      </c>
      <c r="AE65" s="16">
        <f t="shared" si="0"/>
        <v>23261466</v>
      </c>
      <c r="AF65" s="17">
        <v>12197</v>
      </c>
      <c r="AG65" s="15">
        <v>26658550</v>
      </c>
      <c r="AH65" s="14">
        <v>0</v>
      </c>
      <c r="AI65" s="15">
        <v>23000</v>
      </c>
      <c r="AJ65" s="15">
        <v>549000</v>
      </c>
      <c r="AK65" s="15">
        <v>75000</v>
      </c>
      <c r="AL65" s="15">
        <v>211950</v>
      </c>
      <c r="AM65" s="15">
        <v>44190</v>
      </c>
      <c r="AN65" s="15">
        <v>136500</v>
      </c>
      <c r="AO65" s="18">
        <f t="shared" si="1"/>
        <v>27698190</v>
      </c>
      <c r="AP65" s="19">
        <f t="shared" si="2"/>
        <v>4436724</v>
      </c>
      <c r="AQ65" s="20">
        <v>3327543</v>
      </c>
      <c r="AR65" s="21">
        <f t="shared" si="3"/>
        <v>0.75</v>
      </c>
      <c r="AS65" s="14">
        <v>12197</v>
      </c>
      <c r="AT65" s="25">
        <v>266</v>
      </c>
      <c r="AU65" s="26">
        <v>120</v>
      </c>
      <c r="AV65" s="23">
        <v>-30</v>
      </c>
      <c r="AW65" s="24">
        <v>2.1089352255609293E-2</v>
      </c>
      <c r="AX65" s="15">
        <v>329.40680250535161</v>
      </c>
      <c r="AY65" s="15">
        <v>327380.58685446007</v>
      </c>
      <c r="AZ65" s="15">
        <v>2187.550217266541</v>
      </c>
      <c r="BA65" s="13">
        <v>45859</v>
      </c>
      <c r="BB65" s="14">
        <f t="shared" si="4"/>
        <v>52</v>
      </c>
    </row>
    <row r="66" spans="1:54" x14ac:dyDescent="0.35">
      <c r="A66" s="12" t="s">
        <v>80</v>
      </c>
      <c r="B66" s="13">
        <v>45866</v>
      </c>
      <c r="C66" s="13">
        <v>45921</v>
      </c>
      <c r="D66" s="14">
        <v>48</v>
      </c>
      <c r="E66" s="15">
        <v>14819500</v>
      </c>
      <c r="F66" s="14">
        <v>12500</v>
      </c>
      <c r="G66" s="15">
        <v>4117500</v>
      </c>
      <c r="H66" s="14">
        <v>29</v>
      </c>
      <c r="I66" s="15">
        <v>145000</v>
      </c>
      <c r="J66" s="14"/>
      <c r="K66" s="15">
        <v>102000</v>
      </c>
      <c r="L66" s="14">
        <v>85</v>
      </c>
      <c r="M66" s="15">
        <v>552500</v>
      </c>
      <c r="N66" s="15">
        <v>2469792</v>
      </c>
      <c r="O66" s="15">
        <v>192000</v>
      </c>
      <c r="P66" s="15">
        <v>93250</v>
      </c>
      <c r="Q66" s="15">
        <v>230000</v>
      </c>
      <c r="R66" s="15">
        <v>340000</v>
      </c>
      <c r="S66" s="15">
        <v>168000</v>
      </c>
      <c r="T66" s="15">
        <v>200000</v>
      </c>
      <c r="U66" s="15">
        <v>0</v>
      </c>
      <c r="V66" s="15">
        <v>100000</v>
      </c>
      <c r="W66" s="15">
        <v>50000</v>
      </c>
      <c r="X66" s="15">
        <v>235100</v>
      </c>
      <c r="Y66" s="15">
        <v>120150</v>
      </c>
      <c r="Z66" s="15">
        <v>0</v>
      </c>
      <c r="AA66" s="15">
        <v>140000</v>
      </c>
      <c r="AB66" s="15">
        <v>0</v>
      </c>
      <c r="AC66" s="15">
        <v>40000</v>
      </c>
      <c r="AD66" s="15">
        <v>0</v>
      </c>
      <c r="AE66" s="16">
        <f t="shared" si="0"/>
        <v>24114792</v>
      </c>
      <c r="AF66" s="17">
        <v>10359</v>
      </c>
      <c r="AG66" s="15">
        <v>21226950</v>
      </c>
      <c r="AH66" s="14">
        <v>1656</v>
      </c>
      <c r="AI66" s="15">
        <v>3742150</v>
      </c>
      <c r="AJ66" s="15">
        <v>565000</v>
      </c>
      <c r="AK66" s="15">
        <v>108500</v>
      </c>
      <c r="AL66" s="15">
        <v>250104</v>
      </c>
      <c r="AM66" s="15">
        <v>82710</v>
      </c>
      <c r="AN66" s="15">
        <v>90500</v>
      </c>
      <c r="AO66" s="18">
        <f t="shared" si="1"/>
        <v>26065914</v>
      </c>
      <c r="AP66" s="19">
        <f t="shared" si="2"/>
        <v>1951122</v>
      </c>
      <c r="AQ66" s="20">
        <v>975561</v>
      </c>
      <c r="AR66" s="21">
        <f t="shared" si="3"/>
        <v>0.5</v>
      </c>
      <c r="AS66" s="14">
        <v>12015</v>
      </c>
      <c r="AT66" s="22">
        <v>318</v>
      </c>
      <c r="AU66" s="14">
        <v>122</v>
      </c>
      <c r="AV66" s="23">
        <v>-45</v>
      </c>
      <c r="AW66" s="24">
        <v>2.5440000000000001E-2</v>
      </c>
      <c r="AX66" s="15">
        <v>329.4</v>
      </c>
      <c r="AY66" s="15">
        <v>308739.58333333331</v>
      </c>
      <c r="AZ66" s="15">
        <v>2078.1606325426551</v>
      </c>
      <c r="BA66" s="13">
        <v>45866</v>
      </c>
      <c r="BB66" s="14">
        <f t="shared" si="4"/>
        <v>55</v>
      </c>
    </row>
    <row r="67" spans="1:54" x14ac:dyDescent="0.35">
      <c r="A67" s="12" t="s">
        <v>66</v>
      </c>
      <c r="B67" s="13">
        <v>45866</v>
      </c>
      <c r="C67" s="13">
        <v>45918</v>
      </c>
      <c r="D67" s="14">
        <v>46.6</v>
      </c>
      <c r="E67" s="15">
        <v>14801150</v>
      </c>
      <c r="F67" s="14">
        <v>12500</v>
      </c>
      <c r="G67" s="15">
        <v>4117500</v>
      </c>
      <c r="H67" s="14">
        <v>25</v>
      </c>
      <c r="I67" s="15">
        <v>125000</v>
      </c>
      <c r="J67" s="14"/>
      <c r="K67" s="15">
        <v>364800</v>
      </c>
      <c r="L67" s="14">
        <v>70</v>
      </c>
      <c r="M67" s="15">
        <v>455000</v>
      </c>
      <c r="N67" s="15">
        <v>1436790</v>
      </c>
      <c r="O67" s="15">
        <v>159250</v>
      </c>
      <c r="P67" s="15">
        <v>53000</v>
      </c>
      <c r="Q67" s="15">
        <v>230000</v>
      </c>
      <c r="R67" s="15">
        <v>340000</v>
      </c>
      <c r="S67" s="15">
        <v>159000</v>
      </c>
      <c r="T67" s="15">
        <v>290000</v>
      </c>
      <c r="U67" s="15">
        <v>0</v>
      </c>
      <c r="V67" s="15">
        <v>100000</v>
      </c>
      <c r="W67" s="15">
        <v>0</v>
      </c>
      <c r="X67" s="15">
        <v>227525</v>
      </c>
      <c r="Y67" s="15">
        <v>121100</v>
      </c>
      <c r="Z67" s="15">
        <v>106250</v>
      </c>
      <c r="AA67" s="15">
        <v>80000</v>
      </c>
      <c r="AB67" s="15">
        <v>19250</v>
      </c>
      <c r="AC67" s="15">
        <v>70000</v>
      </c>
      <c r="AD67" s="15">
        <v>5000</v>
      </c>
      <c r="AE67" s="16">
        <f t="shared" si="0"/>
        <v>23260615</v>
      </c>
      <c r="AF67" s="17">
        <v>10818</v>
      </c>
      <c r="AG67" s="15">
        <v>22778500</v>
      </c>
      <c r="AH67" s="14">
        <v>1292</v>
      </c>
      <c r="AI67" s="15">
        <v>1576960</v>
      </c>
      <c r="AJ67" s="15">
        <v>549000</v>
      </c>
      <c r="AK67" s="15">
        <v>30000</v>
      </c>
      <c r="AL67" s="15">
        <v>280000</v>
      </c>
      <c r="AM67" s="15">
        <v>297990</v>
      </c>
      <c r="AN67" s="15">
        <v>195000</v>
      </c>
      <c r="AO67" s="18">
        <f t="shared" si="1"/>
        <v>25707450</v>
      </c>
      <c r="AP67" s="19">
        <f t="shared" si="2"/>
        <v>2446835</v>
      </c>
      <c r="AQ67" s="20">
        <v>1223417.5</v>
      </c>
      <c r="AR67" s="21">
        <f t="shared" si="3"/>
        <v>0.5</v>
      </c>
      <c r="AS67" s="14">
        <v>12110</v>
      </c>
      <c r="AT67" s="22">
        <v>312</v>
      </c>
      <c r="AU67" s="14">
        <v>100</v>
      </c>
      <c r="AV67" s="23">
        <v>22</v>
      </c>
      <c r="AW67" s="24">
        <v>2.496E-2</v>
      </c>
      <c r="AX67" s="15">
        <v>329.4</v>
      </c>
      <c r="AY67" s="15">
        <v>317621.24463519314</v>
      </c>
      <c r="AZ67" s="15">
        <v>2011.1857968620975</v>
      </c>
      <c r="BA67" s="13">
        <v>45866</v>
      </c>
      <c r="BB67" s="14">
        <f t="shared" si="4"/>
        <v>52</v>
      </c>
    </row>
    <row r="68" spans="1:54" x14ac:dyDescent="0.35">
      <c r="A68" s="12" t="s">
        <v>87</v>
      </c>
      <c r="B68" s="13">
        <v>45869</v>
      </c>
      <c r="C68" s="13">
        <v>45927</v>
      </c>
      <c r="D68" s="14">
        <v>28.6</v>
      </c>
      <c r="E68" s="15">
        <v>9377929</v>
      </c>
      <c r="F68" s="14">
        <v>10980</v>
      </c>
      <c r="G68" s="15">
        <v>3616680</v>
      </c>
      <c r="H68" s="14">
        <v>27</v>
      </c>
      <c r="I68" s="15">
        <v>135000</v>
      </c>
      <c r="J68" s="14"/>
      <c r="K68" s="15">
        <v>67000</v>
      </c>
      <c r="L68" s="14">
        <v>114</v>
      </c>
      <c r="M68" s="15">
        <v>741000</v>
      </c>
      <c r="N68" s="15">
        <v>2118712</v>
      </c>
      <c r="O68" s="15">
        <v>82250</v>
      </c>
      <c r="P68" s="15">
        <v>42200</v>
      </c>
      <c r="Q68" s="15">
        <v>200000</v>
      </c>
      <c r="R68" s="15">
        <v>340000</v>
      </c>
      <c r="S68" s="15">
        <v>147500</v>
      </c>
      <c r="T68" s="15">
        <v>300000</v>
      </c>
      <c r="U68" s="15">
        <v>0</v>
      </c>
      <c r="V68" s="15">
        <v>0</v>
      </c>
      <c r="W68" s="15">
        <v>100000</v>
      </c>
      <c r="X68" s="15">
        <v>62000</v>
      </c>
      <c r="Y68" s="15">
        <v>0</v>
      </c>
      <c r="Z68" s="15">
        <v>38500</v>
      </c>
      <c r="AA68" s="15">
        <v>80000</v>
      </c>
      <c r="AB68" s="15">
        <v>12250</v>
      </c>
      <c r="AC68" s="15">
        <v>53000</v>
      </c>
      <c r="AD68" s="15">
        <v>113000</v>
      </c>
      <c r="AE68" s="16">
        <f t="shared" ref="AE68:AE93" si="12">IF(SUM(E68,G68,I68,K68,M68,N68:AD68)=0,"",SUM(E68,G68,I68,K68,M68,N68:AD68))</f>
        <v>17627021</v>
      </c>
      <c r="AF68" s="17">
        <v>2647</v>
      </c>
      <c r="AG68" s="15">
        <v>6899150</v>
      </c>
      <c r="AH68" s="14">
        <v>1037</v>
      </c>
      <c r="AI68" s="15">
        <v>1838570</v>
      </c>
      <c r="AJ68" s="15">
        <v>339000</v>
      </c>
      <c r="AK68" s="15">
        <v>0</v>
      </c>
      <c r="AL68" s="15">
        <v>0</v>
      </c>
      <c r="AM68" s="15">
        <v>66780</v>
      </c>
      <c r="AN68" s="15">
        <v>19500</v>
      </c>
      <c r="AO68" s="18">
        <f t="shared" ref="AO68:AO94" si="13">IF(SUM(AG68,AI68,AJ68:AN68)=0,"",SUM(AG68,AI68,AJ68:AN68))</f>
        <v>9163000</v>
      </c>
      <c r="AP68" s="19">
        <f t="shared" ref="AP68:AP95" si="14">IF(SUM(IF(AO68="",0,AO68),-IF(AE68="",0,AE68))=0,"",SUM(IF(AO68="",0,AO68),-IF(AE68="",0,AE68)))</f>
        <v>-8464021</v>
      </c>
      <c r="AQ68" s="20">
        <v>-8464021</v>
      </c>
      <c r="AR68" s="21">
        <f t="shared" ref="AR68:AR95" si="15">AQ68/AP68</f>
        <v>1</v>
      </c>
      <c r="AS68" s="14">
        <v>3684</v>
      </c>
      <c r="AT68" s="22">
        <v>7175</v>
      </c>
      <c r="AU68" s="14">
        <v>73</v>
      </c>
      <c r="AV68" s="23">
        <v>-48</v>
      </c>
      <c r="AW68" s="24">
        <v>0.65346083788706744</v>
      </c>
      <c r="AX68" s="15">
        <v>329.38797814207652</v>
      </c>
      <c r="AY68" s="15">
        <v>327899.61538461538</v>
      </c>
      <c r="AZ68" s="15">
        <v>2371.8023887079262</v>
      </c>
      <c r="BA68" s="13">
        <v>45869</v>
      </c>
      <c r="BB68" s="14">
        <f t="shared" ref="BB68:BB95" si="16">C68-B68</f>
        <v>58</v>
      </c>
    </row>
    <row r="69" spans="1:54" x14ac:dyDescent="0.35">
      <c r="A69" s="12" t="s">
        <v>81</v>
      </c>
      <c r="B69" s="13">
        <v>45873</v>
      </c>
      <c r="C69" s="13">
        <v>45934</v>
      </c>
      <c r="D69" s="14">
        <v>53.5</v>
      </c>
      <c r="E69" s="15">
        <v>17026962.5</v>
      </c>
      <c r="F69" s="14">
        <v>13492</v>
      </c>
      <c r="G69" s="15">
        <v>4047552</v>
      </c>
      <c r="H69" s="14">
        <v>55</v>
      </c>
      <c r="I69" s="15">
        <v>230000</v>
      </c>
      <c r="J69" s="14"/>
      <c r="K69" s="15">
        <v>367200</v>
      </c>
      <c r="L69" s="14">
        <v>91</v>
      </c>
      <c r="M69" s="15">
        <v>715000</v>
      </c>
      <c r="N69" s="15">
        <v>2868090</v>
      </c>
      <c r="O69" s="15">
        <v>216000</v>
      </c>
      <c r="P69" s="15">
        <v>68500</v>
      </c>
      <c r="Q69" s="15">
        <v>200000</v>
      </c>
      <c r="R69" s="15">
        <v>340000</v>
      </c>
      <c r="S69" s="15">
        <v>150000</v>
      </c>
      <c r="T69" s="15">
        <v>300000</v>
      </c>
      <c r="U69" s="15">
        <v>0</v>
      </c>
      <c r="V69" s="15">
        <v>0</v>
      </c>
      <c r="W69" s="15">
        <v>100000</v>
      </c>
      <c r="X69" s="15">
        <v>267250</v>
      </c>
      <c r="Y69" s="15">
        <v>46900</v>
      </c>
      <c r="Z69" s="15">
        <v>85000</v>
      </c>
      <c r="AA69" s="15">
        <v>80000</v>
      </c>
      <c r="AB69" s="15">
        <v>70000</v>
      </c>
      <c r="AC69" s="15">
        <v>42000</v>
      </c>
      <c r="AD69" s="15">
        <v>12500</v>
      </c>
      <c r="AE69" s="16">
        <f t="shared" si="12"/>
        <v>27232954.5</v>
      </c>
      <c r="AF69" s="17">
        <v>11285</v>
      </c>
      <c r="AG69" s="15">
        <v>22192250</v>
      </c>
      <c r="AH69" s="14">
        <v>1550</v>
      </c>
      <c r="AI69" s="15">
        <v>2737400</v>
      </c>
      <c r="AJ69" s="15">
        <v>548300</v>
      </c>
      <c r="AK69" s="15">
        <v>46500</v>
      </c>
      <c r="AL69" s="15">
        <v>610500</v>
      </c>
      <c r="AM69" s="15">
        <v>32660</v>
      </c>
      <c r="AN69" s="15">
        <v>60000</v>
      </c>
      <c r="AO69" s="18">
        <f t="shared" si="13"/>
        <v>26227610</v>
      </c>
      <c r="AP69" s="19">
        <f t="shared" si="14"/>
        <v>-1005344.5</v>
      </c>
      <c r="AQ69" s="20">
        <v>-1005344.5</v>
      </c>
      <c r="AR69" s="21">
        <f t="shared" si="15"/>
        <v>1</v>
      </c>
      <c r="AS69" s="14">
        <v>12835</v>
      </c>
      <c r="AT69" s="22">
        <v>494</v>
      </c>
      <c r="AU69" s="14">
        <v>113</v>
      </c>
      <c r="AV69" s="23">
        <v>-50</v>
      </c>
      <c r="AW69" s="24">
        <v>3.6614289949599761E-2</v>
      </c>
      <c r="AX69" s="15">
        <v>299.99644233619921</v>
      </c>
      <c r="AY69" s="15">
        <v>318260.98130841122</v>
      </c>
      <c r="AZ69" s="15">
        <v>1942.317880794702</v>
      </c>
      <c r="BA69" s="13">
        <v>45873</v>
      </c>
      <c r="BB69" s="14">
        <f t="shared" si="16"/>
        <v>61</v>
      </c>
    </row>
    <row r="70" spans="1:54" x14ac:dyDescent="0.35">
      <c r="A70" s="12" t="s">
        <v>84</v>
      </c>
      <c r="B70" s="13">
        <v>45880</v>
      </c>
      <c r="C70" s="13">
        <v>45935</v>
      </c>
      <c r="D70" s="14">
        <v>43</v>
      </c>
      <c r="E70" s="15">
        <v>13624043</v>
      </c>
      <c r="F70" s="14">
        <v>12740</v>
      </c>
      <c r="G70" s="15">
        <v>3197690</v>
      </c>
      <c r="H70" s="14">
        <v>44</v>
      </c>
      <c r="I70" s="15">
        <v>220000</v>
      </c>
      <c r="J70" s="14"/>
      <c r="K70" s="15">
        <v>344000</v>
      </c>
      <c r="L70" s="14">
        <v>187</v>
      </c>
      <c r="M70" s="15">
        <v>1215500</v>
      </c>
      <c r="N70" s="15">
        <v>2623060</v>
      </c>
      <c r="O70" s="15">
        <v>107500</v>
      </c>
      <c r="P70" s="15">
        <v>94950</v>
      </c>
      <c r="Q70" s="15">
        <v>200000</v>
      </c>
      <c r="R70" s="15">
        <v>340000</v>
      </c>
      <c r="S70" s="15">
        <v>112000</v>
      </c>
      <c r="T70" s="15">
        <v>300000</v>
      </c>
      <c r="U70" s="15">
        <v>0</v>
      </c>
      <c r="V70" s="15">
        <v>100000</v>
      </c>
      <c r="W70" s="15">
        <v>50000</v>
      </c>
      <c r="X70" s="15">
        <v>236275</v>
      </c>
      <c r="Y70" s="15">
        <v>117240</v>
      </c>
      <c r="Z70" s="15">
        <v>166980</v>
      </c>
      <c r="AA70" s="15">
        <v>60000</v>
      </c>
      <c r="AB70" s="15">
        <v>0</v>
      </c>
      <c r="AC70" s="15">
        <v>70000</v>
      </c>
      <c r="AD70" s="15">
        <f>53750+25350</f>
        <v>79100</v>
      </c>
      <c r="AE70" s="16">
        <f t="shared" si="12"/>
        <v>23258338</v>
      </c>
      <c r="AF70" s="17">
        <v>9556</v>
      </c>
      <c r="AG70" s="15">
        <f>17256195+119000</f>
        <v>17375195</v>
      </c>
      <c r="AH70" s="14">
        <v>2168</v>
      </c>
      <c r="AI70" s="15">
        <v>2652530</v>
      </c>
      <c r="AJ70" s="15">
        <v>499000</v>
      </c>
      <c r="AK70" s="15">
        <v>0</v>
      </c>
      <c r="AL70" s="15">
        <v>199000</v>
      </c>
      <c r="AM70" s="15">
        <v>181800</v>
      </c>
      <c r="AN70" s="15">
        <v>18000</v>
      </c>
      <c r="AO70" s="18">
        <f t="shared" si="13"/>
        <v>20925525</v>
      </c>
      <c r="AP70" s="19">
        <f t="shared" si="14"/>
        <v>-2332813</v>
      </c>
      <c r="AQ70" s="20">
        <v>-1516328.45</v>
      </c>
      <c r="AR70" s="21">
        <f t="shared" si="15"/>
        <v>0.65</v>
      </c>
      <c r="AS70" s="14">
        <v>11724</v>
      </c>
      <c r="AT70" s="22">
        <v>896</v>
      </c>
      <c r="AU70" s="14">
        <v>140</v>
      </c>
      <c r="AV70" s="23">
        <f>SUM(AS70:AU70)-F70</f>
        <v>20</v>
      </c>
      <c r="AW70" s="24">
        <f>AT70/F70</f>
        <v>7.032967032967033E-2</v>
      </c>
      <c r="AX70" s="15">
        <f>G70/F70</f>
        <v>250.9960753532182</v>
      </c>
      <c r="AY70" s="15">
        <f>E70/D70</f>
        <v>316838.20930232556</v>
      </c>
      <c r="AZ70" s="15">
        <f>SUM(AI70+AG70)/SUM(AH70+AF70)</f>
        <v>1708.267229614466</v>
      </c>
      <c r="BA70" s="13">
        <f>B70</f>
        <v>45880</v>
      </c>
      <c r="BB70" s="14">
        <f t="shared" si="16"/>
        <v>55</v>
      </c>
    </row>
    <row r="71" spans="1:54" x14ac:dyDescent="0.35">
      <c r="A71" s="12" t="s">
        <v>82</v>
      </c>
      <c r="B71" s="13">
        <v>45880</v>
      </c>
      <c r="C71" s="13">
        <v>45942</v>
      </c>
      <c r="D71" s="14">
        <v>44.8</v>
      </c>
      <c r="E71" s="15">
        <v>14174415</v>
      </c>
      <c r="F71" s="14">
        <v>11500</v>
      </c>
      <c r="G71" s="15">
        <v>2886500</v>
      </c>
      <c r="H71" s="14">
        <v>20</v>
      </c>
      <c r="I71" s="15">
        <v>100000</v>
      </c>
      <c r="J71" s="14"/>
      <c r="K71" s="15">
        <v>360000</v>
      </c>
      <c r="L71" s="14">
        <v>115</v>
      </c>
      <c r="M71" s="15">
        <v>747500</v>
      </c>
      <c r="N71" s="15">
        <v>2492617</v>
      </c>
      <c r="O71" s="15">
        <v>210000</v>
      </c>
      <c r="P71" s="15">
        <v>61650</v>
      </c>
      <c r="Q71" s="15">
        <v>200000</v>
      </c>
      <c r="R71" s="15">
        <v>340000</v>
      </c>
      <c r="S71" s="15">
        <v>157500</v>
      </c>
      <c r="T71" s="15">
        <v>250000</v>
      </c>
      <c r="U71" s="15">
        <v>0</v>
      </c>
      <c r="V71" s="15">
        <v>100000</v>
      </c>
      <c r="W71" s="15">
        <v>50000</v>
      </c>
      <c r="X71" s="15">
        <v>173125</v>
      </c>
      <c r="Y71" s="15">
        <v>101560</v>
      </c>
      <c r="Z71" s="15">
        <v>152680</v>
      </c>
      <c r="AA71" s="15">
        <v>80000</v>
      </c>
      <c r="AB71" s="15">
        <v>40250</v>
      </c>
      <c r="AC71" s="15">
        <v>70000</v>
      </c>
      <c r="AD71" s="15">
        <v>18800</v>
      </c>
      <c r="AE71" s="16">
        <f t="shared" si="12"/>
        <v>22766597</v>
      </c>
      <c r="AF71" s="17">
        <v>7113</v>
      </c>
      <c r="AG71" s="15">
        <v>14900650</v>
      </c>
      <c r="AH71" s="14">
        <v>3043</v>
      </c>
      <c r="AI71" s="15">
        <v>4409590</v>
      </c>
      <c r="AJ71" s="15">
        <v>499000</v>
      </c>
      <c r="AK71" s="15">
        <v>110500</v>
      </c>
      <c r="AL71" s="15">
        <v>113050</v>
      </c>
      <c r="AM71" s="15">
        <v>76680</v>
      </c>
      <c r="AN71" s="15">
        <v>86000</v>
      </c>
      <c r="AO71" s="18">
        <f t="shared" si="13"/>
        <v>20195470</v>
      </c>
      <c r="AP71" s="19">
        <f t="shared" si="14"/>
        <v>-2571127</v>
      </c>
      <c r="AQ71" s="20">
        <v>-1928345.25</v>
      </c>
      <c r="AR71" s="21">
        <f t="shared" si="15"/>
        <v>0.75</v>
      </c>
      <c r="AS71" s="14">
        <v>10156</v>
      </c>
      <c r="AT71" s="22">
        <v>1269</v>
      </c>
      <c r="AU71" s="14">
        <v>106</v>
      </c>
      <c r="AV71" s="23">
        <v>31</v>
      </c>
      <c r="AW71" s="24">
        <v>0.11034782608695652</v>
      </c>
      <c r="AX71" s="15">
        <v>251</v>
      </c>
      <c r="AY71" s="15">
        <v>316393.19196428574</v>
      </c>
      <c r="AZ71" s="15">
        <v>1901.3627412367073</v>
      </c>
      <c r="BA71" s="13">
        <v>45880</v>
      </c>
      <c r="BB71" s="14">
        <f t="shared" si="16"/>
        <v>62</v>
      </c>
    </row>
    <row r="72" spans="1:54" x14ac:dyDescent="0.35">
      <c r="A72" s="12" t="s">
        <v>86</v>
      </c>
      <c r="B72" s="13">
        <v>45887</v>
      </c>
      <c r="C72" s="13">
        <v>45948</v>
      </c>
      <c r="D72" s="14">
        <v>43</v>
      </c>
      <c r="E72" s="15">
        <v>13195775</v>
      </c>
      <c r="F72" s="14">
        <v>10000</v>
      </c>
      <c r="G72" s="15">
        <v>2510000</v>
      </c>
      <c r="H72" s="14">
        <v>24</v>
      </c>
      <c r="I72" s="15">
        <v>120000</v>
      </c>
      <c r="J72" s="14"/>
      <c r="K72" s="15">
        <v>344000</v>
      </c>
      <c r="L72" s="14">
        <v>120</v>
      </c>
      <c r="M72" s="15">
        <v>780000</v>
      </c>
      <c r="N72" s="15">
        <v>2628180</v>
      </c>
      <c r="O72" s="15">
        <v>150500</v>
      </c>
      <c r="P72" s="15">
        <v>63500</v>
      </c>
      <c r="Q72" s="15">
        <v>200000</v>
      </c>
      <c r="R72" s="15">
        <v>340000</v>
      </c>
      <c r="S72" s="15">
        <v>186000</v>
      </c>
      <c r="T72" s="15">
        <v>290000</v>
      </c>
      <c r="U72" s="15">
        <v>0</v>
      </c>
      <c r="V72" s="15">
        <v>100000</v>
      </c>
      <c r="W72" s="15">
        <v>50000</v>
      </c>
      <c r="X72" s="15">
        <v>189425</v>
      </c>
      <c r="Y72" s="15">
        <v>90410</v>
      </c>
      <c r="Z72" s="15">
        <v>88963</v>
      </c>
      <c r="AA72" s="15">
        <v>80000</v>
      </c>
      <c r="AB72" s="15">
        <v>0</v>
      </c>
      <c r="AC72" s="15">
        <v>70000</v>
      </c>
      <c r="AD72" s="15">
        <f>18750+2200</f>
        <v>20950</v>
      </c>
      <c r="AE72" s="16">
        <f t="shared" si="12"/>
        <v>21497703</v>
      </c>
      <c r="AF72" s="17">
        <v>7830</v>
      </c>
      <c r="AG72" s="15">
        <v>14713350</v>
      </c>
      <c r="AH72" s="14">
        <v>1211</v>
      </c>
      <c r="AI72" s="15">
        <v>2122360</v>
      </c>
      <c r="AJ72" s="15">
        <v>475000</v>
      </c>
      <c r="AK72" s="15">
        <v>32000</v>
      </c>
      <c r="AL72" s="15">
        <v>178200</v>
      </c>
      <c r="AM72" s="15">
        <v>54630</v>
      </c>
      <c r="AN72" s="15">
        <v>63500</v>
      </c>
      <c r="AO72" s="18">
        <f t="shared" si="13"/>
        <v>17639040</v>
      </c>
      <c r="AP72" s="19">
        <f t="shared" si="14"/>
        <v>-3858663</v>
      </c>
      <c r="AQ72" s="20">
        <v>-2508130.9500000002</v>
      </c>
      <c r="AR72" s="21">
        <f t="shared" si="15"/>
        <v>0.65</v>
      </c>
      <c r="AS72" s="14">
        <v>9041</v>
      </c>
      <c r="AT72" s="22">
        <v>836</v>
      </c>
      <c r="AU72" s="14">
        <v>125</v>
      </c>
      <c r="AV72" s="23">
        <f>SUM(AS72:AU72)-F72</f>
        <v>2</v>
      </c>
      <c r="AW72" s="24">
        <f>AT72/F72</f>
        <v>8.3599999999999994E-2</v>
      </c>
      <c r="AX72" s="15">
        <f>G72/F72</f>
        <v>251</v>
      </c>
      <c r="AY72" s="15">
        <f>E72/D72</f>
        <v>306878.48837209301</v>
      </c>
      <c r="AZ72" s="15">
        <f>SUM(AI72+AG72)/SUM(AH72+AF72)</f>
        <v>1862.1513106957195</v>
      </c>
      <c r="BA72" s="13">
        <f>B72</f>
        <v>45887</v>
      </c>
      <c r="BB72" s="14">
        <f t="shared" si="16"/>
        <v>61</v>
      </c>
    </row>
    <row r="73" spans="1:54" x14ac:dyDescent="0.35">
      <c r="A73" s="12" t="s">
        <v>88</v>
      </c>
      <c r="B73" s="13">
        <v>45887</v>
      </c>
      <c r="C73" s="13">
        <v>45941</v>
      </c>
      <c r="D73" s="14">
        <v>38.25</v>
      </c>
      <c r="E73" s="15">
        <v>11916055</v>
      </c>
      <c r="F73" s="14">
        <v>10000</v>
      </c>
      <c r="G73" s="15">
        <v>2510000</v>
      </c>
      <c r="H73" s="14">
        <v>27</v>
      </c>
      <c r="I73" s="15">
        <v>135000</v>
      </c>
      <c r="J73" s="14"/>
      <c r="K73" s="15">
        <v>123900</v>
      </c>
      <c r="L73" s="14">
        <v>74</v>
      </c>
      <c r="M73" s="15">
        <v>481000</v>
      </c>
      <c r="N73" s="15">
        <v>2716550</v>
      </c>
      <c r="O73" s="15">
        <v>133875</v>
      </c>
      <c r="P73" s="15">
        <v>98050</v>
      </c>
      <c r="Q73" s="15">
        <v>200000</v>
      </c>
      <c r="R73" s="15">
        <v>340000</v>
      </c>
      <c r="S73" s="15">
        <v>165000</v>
      </c>
      <c r="T73" s="15">
        <v>300000</v>
      </c>
      <c r="U73" s="15">
        <v>0</v>
      </c>
      <c r="V73" s="15">
        <v>100000</v>
      </c>
      <c r="W73" s="15">
        <v>0</v>
      </c>
      <c r="X73" s="15">
        <v>0</v>
      </c>
      <c r="Y73" s="15">
        <v>93100</v>
      </c>
      <c r="Z73" s="15">
        <v>79592</v>
      </c>
      <c r="AA73" s="15">
        <v>50000</v>
      </c>
      <c r="AB73" s="15">
        <v>0</v>
      </c>
      <c r="AC73" s="15">
        <v>56625</v>
      </c>
      <c r="AD73" s="15">
        <f>22000+112000</f>
        <v>134000</v>
      </c>
      <c r="AE73" s="16">
        <f t="shared" si="12"/>
        <v>19632747</v>
      </c>
      <c r="AF73" s="17">
        <v>183</v>
      </c>
      <c r="AG73" s="15">
        <v>309000</v>
      </c>
      <c r="AH73" s="14">
        <v>9127</v>
      </c>
      <c r="AI73" s="15">
        <v>15083960</v>
      </c>
      <c r="AJ73" s="15">
        <v>374000</v>
      </c>
      <c r="AK73" s="15">
        <v>0</v>
      </c>
      <c r="AL73" s="15">
        <v>0</v>
      </c>
      <c r="AM73" s="15">
        <v>0</v>
      </c>
      <c r="AN73" s="15">
        <v>0</v>
      </c>
      <c r="AO73" s="18">
        <f t="shared" si="13"/>
        <v>15766960</v>
      </c>
      <c r="AP73" s="19">
        <f t="shared" si="14"/>
        <v>-3865787</v>
      </c>
      <c r="AQ73" s="20">
        <v>-1932893.5</v>
      </c>
      <c r="AR73" s="21">
        <f t="shared" si="15"/>
        <v>0.5</v>
      </c>
      <c r="AS73" s="14">
        <v>9310</v>
      </c>
      <c r="AT73" s="22">
        <v>620</v>
      </c>
      <c r="AU73" s="14">
        <v>80</v>
      </c>
      <c r="AV73" s="23">
        <v>10</v>
      </c>
      <c r="AW73" s="24">
        <v>6.2E-2</v>
      </c>
      <c r="AX73" s="15">
        <v>251</v>
      </c>
      <c r="AY73" s="15">
        <v>311530.84967320261</v>
      </c>
      <c r="AZ73" s="15">
        <v>1653.3791621911923</v>
      </c>
      <c r="BA73" s="13">
        <v>45887</v>
      </c>
      <c r="BB73" s="14">
        <f t="shared" si="16"/>
        <v>54</v>
      </c>
    </row>
    <row r="74" spans="1:54" x14ac:dyDescent="0.35">
      <c r="A74" s="12" t="s">
        <v>65</v>
      </c>
      <c r="B74" s="13">
        <v>45894</v>
      </c>
      <c r="C74" s="13">
        <v>45954</v>
      </c>
      <c r="D74" s="14">
        <v>47.5</v>
      </c>
      <c r="E74" s="15">
        <v>14834480</v>
      </c>
      <c r="F74" s="14">
        <v>12000</v>
      </c>
      <c r="G74" s="15">
        <v>3247200</v>
      </c>
      <c r="H74" s="14">
        <v>20</v>
      </c>
      <c r="I74" s="15">
        <v>100000</v>
      </c>
      <c r="J74" s="14"/>
      <c r="K74" s="15">
        <v>368000</v>
      </c>
      <c r="L74" s="14">
        <v>70</v>
      </c>
      <c r="M74" s="15">
        <v>455000</v>
      </c>
      <c r="N74" s="15">
        <v>2489600</v>
      </c>
      <c r="O74" s="15">
        <v>237500</v>
      </c>
      <c r="P74" s="15">
        <v>73800</v>
      </c>
      <c r="Q74" s="15">
        <v>200000</v>
      </c>
      <c r="R74" s="15">
        <v>340000</v>
      </c>
      <c r="S74" s="15">
        <v>183000</v>
      </c>
      <c r="T74" s="15">
        <v>250000</v>
      </c>
      <c r="U74" s="15">
        <v>0</v>
      </c>
      <c r="V74" s="15">
        <v>100000</v>
      </c>
      <c r="W74" s="15">
        <v>50000</v>
      </c>
      <c r="X74" s="15">
        <v>261225</v>
      </c>
      <c r="Y74" s="15">
        <v>112950</v>
      </c>
      <c r="Z74" s="15">
        <v>42000</v>
      </c>
      <c r="AA74" s="15">
        <v>80000</v>
      </c>
      <c r="AB74" s="15">
        <v>49000</v>
      </c>
      <c r="AC74" s="15">
        <v>70000</v>
      </c>
      <c r="AD74" s="15">
        <v>90000</v>
      </c>
      <c r="AE74" s="16">
        <f t="shared" si="12"/>
        <v>23633755</v>
      </c>
      <c r="AF74" s="17">
        <v>10672</v>
      </c>
      <c r="AG74" s="15">
        <v>20220850</v>
      </c>
      <c r="AH74" s="14">
        <v>623</v>
      </c>
      <c r="AI74" s="15">
        <v>614830</v>
      </c>
      <c r="AJ74" s="15">
        <v>500000</v>
      </c>
      <c r="AK74" s="15">
        <v>15000</v>
      </c>
      <c r="AL74" s="15">
        <v>375000</v>
      </c>
      <c r="AM74" s="15">
        <v>47250</v>
      </c>
      <c r="AN74" s="15">
        <v>225000</v>
      </c>
      <c r="AO74" s="18">
        <f t="shared" si="13"/>
        <v>21997930</v>
      </c>
      <c r="AP74" s="19">
        <f t="shared" si="14"/>
        <v>-1635825</v>
      </c>
      <c r="AQ74" s="20">
        <f>AP74*75%</f>
        <v>-1226868.75</v>
      </c>
      <c r="AR74" s="21">
        <f t="shared" si="15"/>
        <v>0.75</v>
      </c>
      <c r="AS74" s="14">
        <v>11295</v>
      </c>
      <c r="AT74" s="22">
        <v>537</v>
      </c>
      <c r="AU74" s="14">
        <v>152</v>
      </c>
      <c r="AV74" s="23">
        <v>-16</v>
      </c>
      <c r="AW74" s="24">
        <f>AT74/F74</f>
        <v>4.4749999999999998E-2</v>
      </c>
      <c r="AX74" s="15">
        <f>G74/F74</f>
        <v>270.60000000000002</v>
      </c>
      <c r="AY74" s="15">
        <f>E74/D74</f>
        <v>312304.84210526315</v>
      </c>
      <c r="AZ74" s="15">
        <f>SUM(AI74+AG74)/SUM(AH74+AF74)</f>
        <v>1844.6817175741478</v>
      </c>
      <c r="BA74" s="13">
        <f>B74</f>
        <v>45894</v>
      </c>
      <c r="BB74" s="14">
        <f t="shared" si="16"/>
        <v>60</v>
      </c>
    </row>
    <row r="75" spans="1:54" x14ac:dyDescent="0.35">
      <c r="A75" s="12" t="s">
        <v>64</v>
      </c>
      <c r="B75" s="13">
        <v>45901</v>
      </c>
      <c r="C75" s="13">
        <v>45965</v>
      </c>
      <c r="D75" s="14">
        <v>36.75</v>
      </c>
      <c r="E75" s="15">
        <v>11175920</v>
      </c>
      <c r="F75" s="14">
        <v>10493</v>
      </c>
      <c r="G75" s="15">
        <v>2222388</v>
      </c>
      <c r="H75" s="14">
        <v>25</v>
      </c>
      <c r="I75" s="15">
        <v>125000</v>
      </c>
      <c r="J75" s="14"/>
      <c r="K75" s="15">
        <v>296000</v>
      </c>
      <c r="L75" s="14">
        <v>134</v>
      </c>
      <c r="M75" s="15">
        <v>871000</v>
      </c>
      <c r="N75" s="15">
        <v>2533772</v>
      </c>
      <c r="O75" s="15">
        <v>124250</v>
      </c>
      <c r="P75" s="15">
        <v>83000</v>
      </c>
      <c r="Q75" s="15">
        <v>200000</v>
      </c>
      <c r="R75" s="15">
        <v>340000</v>
      </c>
      <c r="S75" s="15">
        <v>195000</v>
      </c>
      <c r="T75" s="15">
        <v>290000</v>
      </c>
      <c r="U75" s="15">
        <v>0</v>
      </c>
      <c r="V75" s="15">
        <v>100000</v>
      </c>
      <c r="W75" s="15">
        <v>50000</v>
      </c>
      <c r="X75" s="15">
        <v>142650</v>
      </c>
      <c r="Y75" s="15">
        <v>79130</v>
      </c>
      <c r="Z75" s="15">
        <v>86400</v>
      </c>
      <c r="AA75" s="15">
        <v>80000</v>
      </c>
      <c r="AB75" s="15">
        <v>0</v>
      </c>
      <c r="AC75" s="15">
        <v>70000</v>
      </c>
      <c r="AD75" s="15">
        <v>29500</v>
      </c>
      <c r="AE75" s="16">
        <f t="shared" si="12"/>
        <v>19094010</v>
      </c>
      <c r="AF75" s="17">
        <v>6013</v>
      </c>
      <c r="AG75" s="15">
        <v>11926400</v>
      </c>
      <c r="AH75" s="14">
        <v>1900</v>
      </c>
      <c r="AI75" s="15">
        <v>1528380</v>
      </c>
      <c r="AJ75" s="15">
        <v>430000</v>
      </c>
      <c r="AK75" s="15">
        <v>61600</v>
      </c>
      <c r="AL75" s="15">
        <v>0</v>
      </c>
      <c r="AM75" s="15">
        <v>366912</v>
      </c>
      <c r="AN75" s="15">
        <v>0</v>
      </c>
      <c r="AO75" s="18">
        <f t="shared" si="13"/>
        <v>14313292</v>
      </c>
      <c r="AP75" s="19">
        <f t="shared" si="14"/>
        <v>-4780718</v>
      </c>
      <c r="AQ75" s="20">
        <v>-3107466.7</v>
      </c>
      <c r="AR75" s="21">
        <f t="shared" si="15"/>
        <v>0.65</v>
      </c>
      <c r="AS75" s="14">
        <v>7913</v>
      </c>
      <c r="AT75" s="22">
        <v>2445</v>
      </c>
      <c r="AU75" s="14">
        <v>106</v>
      </c>
      <c r="AV75" s="23">
        <f>SUM(AS75:AU75)-F75</f>
        <v>-29</v>
      </c>
      <c r="AW75" s="24">
        <f>AT75/F75</f>
        <v>0.23301248451348519</v>
      </c>
      <c r="AX75" s="15">
        <f>G75/F75</f>
        <v>211.79719813208806</v>
      </c>
      <c r="AY75" s="15">
        <f>E75/D75</f>
        <v>304106.66666666669</v>
      </c>
      <c r="AZ75" s="15">
        <f>SUM(AI75+AG75)/SUM(AH75+AF75)</f>
        <v>1700.3386831795779</v>
      </c>
      <c r="BA75" s="13">
        <f>B75</f>
        <v>45901</v>
      </c>
      <c r="BB75" s="14">
        <f t="shared" si="16"/>
        <v>64</v>
      </c>
    </row>
    <row r="76" spans="1:54" x14ac:dyDescent="0.35">
      <c r="A76" s="12" t="s">
        <v>61</v>
      </c>
      <c r="B76" s="13">
        <v>45901</v>
      </c>
      <c r="C76" s="13">
        <v>45955</v>
      </c>
      <c r="D76" s="14">
        <v>40.35</v>
      </c>
      <c r="E76" s="15">
        <v>12626765</v>
      </c>
      <c r="F76" s="14">
        <v>10400</v>
      </c>
      <c r="G76" s="15">
        <v>2202720</v>
      </c>
      <c r="H76" s="14">
        <v>24</v>
      </c>
      <c r="I76" s="15">
        <v>120000</v>
      </c>
      <c r="J76" s="14"/>
      <c r="K76" s="15">
        <v>320000</v>
      </c>
      <c r="L76" s="14">
        <v>95</v>
      </c>
      <c r="M76" s="15">
        <v>617500</v>
      </c>
      <c r="N76" s="15">
        <v>2312980</v>
      </c>
      <c r="O76" s="15">
        <v>140000</v>
      </c>
      <c r="P76" s="15">
        <v>39900</v>
      </c>
      <c r="Q76" s="15">
        <v>200000</v>
      </c>
      <c r="R76" s="15">
        <v>340000</v>
      </c>
      <c r="S76" s="15">
        <v>165000</v>
      </c>
      <c r="T76" s="15">
        <v>300000</v>
      </c>
      <c r="U76" s="15">
        <v>0</v>
      </c>
      <c r="V76" s="15">
        <v>100000</v>
      </c>
      <c r="W76" s="15">
        <v>50000</v>
      </c>
      <c r="X76" s="15">
        <v>246150</v>
      </c>
      <c r="Y76" s="15">
        <v>98730</v>
      </c>
      <c r="Z76" s="15">
        <v>36400</v>
      </c>
      <c r="AA76" s="15">
        <v>80000</v>
      </c>
      <c r="AB76" s="15">
        <v>42000</v>
      </c>
      <c r="AC76" s="15">
        <v>70000</v>
      </c>
      <c r="AD76" s="15">
        <v>15000</v>
      </c>
      <c r="AE76" s="16">
        <f t="shared" si="12"/>
        <v>20123145</v>
      </c>
      <c r="AF76" s="17">
        <v>9870</v>
      </c>
      <c r="AG76" s="15">
        <v>18836400</v>
      </c>
      <c r="AH76" s="14">
        <v>0</v>
      </c>
      <c r="AI76" s="15">
        <v>0</v>
      </c>
      <c r="AJ76" s="15">
        <v>440000</v>
      </c>
      <c r="AK76" s="15">
        <v>0</v>
      </c>
      <c r="AL76" s="15">
        <v>160250</v>
      </c>
      <c r="AM76" s="15">
        <v>139590</v>
      </c>
      <c r="AN76" s="15">
        <v>24000</v>
      </c>
      <c r="AO76" s="18">
        <f t="shared" si="13"/>
        <v>19600240</v>
      </c>
      <c r="AP76" s="19">
        <f t="shared" si="14"/>
        <v>-522905</v>
      </c>
      <c r="AQ76" s="20">
        <f>AP76*70%</f>
        <v>-366033.5</v>
      </c>
      <c r="AR76" s="21">
        <f t="shared" si="15"/>
        <v>0.7</v>
      </c>
      <c r="AS76" s="14">
        <v>9870</v>
      </c>
      <c r="AT76" s="22">
        <v>327</v>
      </c>
      <c r="AU76" s="14">
        <v>126</v>
      </c>
      <c r="AV76" s="23">
        <v>-77</v>
      </c>
      <c r="AW76" s="24">
        <f>AT76/F76</f>
        <v>3.1442307692307693E-2</v>
      </c>
      <c r="AX76" s="15">
        <f>G76/F76</f>
        <v>211.8</v>
      </c>
      <c r="AY76" s="15">
        <f>E76/D76</f>
        <v>312930.97893432464</v>
      </c>
      <c r="AZ76" s="15">
        <f>SUM(AI76+AG76)/SUM(AH76+AF76)</f>
        <v>1908.449848024316</v>
      </c>
      <c r="BA76" s="13">
        <f>B76</f>
        <v>45901</v>
      </c>
      <c r="BB76" s="14">
        <f t="shared" si="16"/>
        <v>54</v>
      </c>
    </row>
    <row r="77" spans="1:54" x14ac:dyDescent="0.35">
      <c r="A77" s="12" t="s">
        <v>75</v>
      </c>
      <c r="B77" s="13">
        <v>45901</v>
      </c>
      <c r="C77" s="13">
        <v>45960</v>
      </c>
      <c r="D77" s="14">
        <v>41</v>
      </c>
      <c r="E77" s="15">
        <v>12773125</v>
      </c>
      <c r="F77" s="14">
        <v>12000</v>
      </c>
      <c r="G77" s="15">
        <v>2541600</v>
      </c>
      <c r="H77" s="14">
        <v>30</v>
      </c>
      <c r="I77" s="15">
        <v>150000</v>
      </c>
      <c r="J77" s="14"/>
      <c r="K77" s="15">
        <v>328000</v>
      </c>
      <c r="L77" s="14">
        <v>75</v>
      </c>
      <c r="M77" s="15">
        <v>487500</v>
      </c>
      <c r="N77" s="15">
        <v>2104940</v>
      </c>
      <c r="O77" s="15">
        <v>143500</v>
      </c>
      <c r="P77" s="15">
        <v>55000</v>
      </c>
      <c r="Q77" s="15">
        <v>230000</v>
      </c>
      <c r="R77" s="15">
        <v>340000</v>
      </c>
      <c r="S77" s="15">
        <v>180000</v>
      </c>
      <c r="T77" s="15">
        <v>300000</v>
      </c>
      <c r="U77" s="15">
        <v>40000</v>
      </c>
      <c r="V77" s="15">
        <v>100000</v>
      </c>
      <c r="W77" s="15">
        <v>0</v>
      </c>
      <c r="X77" s="15">
        <v>132550</v>
      </c>
      <c r="Y77" s="15">
        <v>81560</v>
      </c>
      <c r="Z77" s="15">
        <v>102000</v>
      </c>
      <c r="AA77" s="15">
        <v>80000</v>
      </c>
      <c r="AB77" s="15">
        <v>0</v>
      </c>
      <c r="AC77" s="15">
        <v>70000</v>
      </c>
      <c r="AD77" s="15">
        <v>10000</v>
      </c>
      <c r="AE77" s="16">
        <f t="shared" si="12"/>
        <v>20249775</v>
      </c>
      <c r="AF77" s="17">
        <v>7451</v>
      </c>
      <c r="AG77" s="15">
        <v>15995450</v>
      </c>
      <c r="AH77" s="14">
        <v>703</v>
      </c>
      <c r="AI77" s="15">
        <v>1641680</v>
      </c>
      <c r="AJ77" s="15">
        <v>540000</v>
      </c>
      <c r="AK77" s="15">
        <v>79500</v>
      </c>
      <c r="AL77" s="15">
        <v>217500</v>
      </c>
      <c r="AM77" s="15">
        <v>383940</v>
      </c>
      <c r="AN77" s="15">
        <v>0</v>
      </c>
      <c r="AO77" s="18">
        <f t="shared" si="13"/>
        <v>18858070</v>
      </c>
      <c r="AP77" s="19">
        <f t="shared" si="14"/>
        <v>-1391705</v>
      </c>
      <c r="AQ77" s="20">
        <v>-695852.5</v>
      </c>
      <c r="AR77" s="21">
        <f t="shared" si="15"/>
        <v>0.5</v>
      </c>
      <c r="AS77" s="14">
        <v>8154</v>
      </c>
      <c r="AT77" s="22">
        <v>3740</v>
      </c>
      <c r="AU77" s="14">
        <v>100</v>
      </c>
      <c r="AV77" s="23">
        <v>-6</v>
      </c>
      <c r="AW77" s="24">
        <v>0.31166666666666665</v>
      </c>
      <c r="AX77" s="15">
        <v>211.8</v>
      </c>
      <c r="AY77" s="15">
        <v>311539.63414634147</v>
      </c>
      <c r="AZ77" s="15">
        <v>2163.0034338974738</v>
      </c>
      <c r="BA77" s="13">
        <v>45901</v>
      </c>
      <c r="BB77" s="14">
        <f t="shared" si="16"/>
        <v>59</v>
      </c>
    </row>
    <row r="78" spans="1:54" x14ac:dyDescent="0.35">
      <c r="A78" s="12" t="s">
        <v>72</v>
      </c>
      <c r="B78" s="13">
        <v>45904</v>
      </c>
      <c r="C78" s="13">
        <v>45963</v>
      </c>
      <c r="D78" s="14">
        <v>45</v>
      </c>
      <c r="E78" s="15">
        <v>14484670</v>
      </c>
      <c r="F78" s="14">
        <v>11138</v>
      </c>
      <c r="G78" s="15">
        <v>2468128</v>
      </c>
      <c r="H78" s="14">
        <v>17</v>
      </c>
      <c r="I78" s="15">
        <v>85000</v>
      </c>
      <c r="J78" s="14"/>
      <c r="K78" s="15">
        <v>352000</v>
      </c>
      <c r="L78" s="14">
        <v>139</v>
      </c>
      <c r="M78" s="15">
        <v>903500</v>
      </c>
      <c r="N78" s="15">
        <v>2678780</v>
      </c>
      <c r="O78" s="15">
        <v>225000</v>
      </c>
      <c r="P78" s="15">
        <v>48150</v>
      </c>
      <c r="Q78" s="15">
        <v>200000</v>
      </c>
      <c r="R78" s="15">
        <v>340000</v>
      </c>
      <c r="S78" s="15">
        <v>150000</v>
      </c>
      <c r="T78" s="15">
        <v>250000</v>
      </c>
      <c r="U78" s="15">
        <v>0</v>
      </c>
      <c r="V78" s="15">
        <v>100000</v>
      </c>
      <c r="W78" s="15">
        <v>50000</v>
      </c>
      <c r="X78" s="15">
        <v>227100</v>
      </c>
      <c r="Y78" s="15">
        <v>100820</v>
      </c>
      <c r="Z78" s="15">
        <v>93100</v>
      </c>
      <c r="AA78" s="15">
        <v>80000</v>
      </c>
      <c r="AB78" s="15">
        <v>33250</v>
      </c>
      <c r="AC78" s="15">
        <v>70000</v>
      </c>
      <c r="AD78" s="15">
        <v>1200</v>
      </c>
      <c r="AE78" s="16">
        <f t="shared" si="12"/>
        <v>22940698</v>
      </c>
      <c r="AF78" s="17">
        <v>9263</v>
      </c>
      <c r="AG78" s="15">
        <v>18151300</v>
      </c>
      <c r="AH78" s="14">
        <v>819</v>
      </c>
      <c r="AI78" s="15">
        <v>1601340</v>
      </c>
      <c r="AJ78" s="15">
        <v>518800</v>
      </c>
      <c r="AK78" s="15">
        <v>63000</v>
      </c>
      <c r="AL78" s="15">
        <v>600000</v>
      </c>
      <c r="AM78" s="15">
        <v>13410</v>
      </c>
      <c r="AN78" s="15">
        <v>52000</v>
      </c>
      <c r="AO78" s="18">
        <f t="shared" si="13"/>
        <v>20999850</v>
      </c>
      <c r="AP78" s="19">
        <f t="shared" si="14"/>
        <v>-1940848</v>
      </c>
      <c r="AQ78" s="20">
        <v>-1455636</v>
      </c>
      <c r="AR78" s="21">
        <f t="shared" si="15"/>
        <v>0.75</v>
      </c>
      <c r="AS78" s="14">
        <v>10082</v>
      </c>
      <c r="AT78" s="22">
        <v>946</v>
      </c>
      <c r="AU78" s="14">
        <v>104</v>
      </c>
      <c r="AV78" s="23">
        <v>-6</v>
      </c>
      <c r="AW78" s="24">
        <v>8.493445861016341E-2</v>
      </c>
      <c r="AX78" s="15">
        <v>221.59525947207757</v>
      </c>
      <c r="AY78" s="15">
        <v>321881.55555555556</v>
      </c>
      <c r="AZ78" s="15">
        <v>1959.1985717119619</v>
      </c>
      <c r="BA78" s="13">
        <v>45904</v>
      </c>
      <c r="BB78" s="14">
        <f t="shared" si="16"/>
        <v>59</v>
      </c>
    </row>
    <row r="79" spans="1:54" x14ac:dyDescent="0.35">
      <c r="A79" s="12" t="s">
        <v>77</v>
      </c>
      <c r="B79" s="13">
        <v>45908</v>
      </c>
      <c r="C79" s="13">
        <v>45968</v>
      </c>
      <c r="D79" s="14">
        <v>57</v>
      </c>
      <c r="E79" s="15">
        <v>17544164</v>
      </c>
      <c r="F79" s="14">
        <v>15000</v>
      </c>
      <c r="G79" s="15">
        <v>3324000</v>
      </c>
      <c r="H79" s="14">
        <v>60</v>
      </c>
      <c r="I79" s="15">
        <v>300000</v>
      </c>
      <c r="J79" s="14"/>
      <c r="K79" s="15">
        <v>183300</v>
      </c>
      <c r="L79" s="14">
        <v>229</v>
      </c>
      <c r="M79" s="15">
        <v>1488500</v>
      </c>
      <c r="N79" s="15">
        <v>2253640</v>
      </c>
      <c r="O79" s="15">
        <v>342000</v>
      </c>
      <c r="P79" s="15">
        <v>0</v>
      </c>
      <c r="Q79" s="15">
        <v>515000</v>
      </c>
      <c r="R79" s="15">
        <v>340000</v>
      </c>
      <c r="S79" s="15">
        <v>200000</v>
      </c>
      <c r="T79" s="15">
        <v>500000</v>
      </c>
      <c r="U79" s="15">
        <v>0</v>
      </c>
      <c r="V79" s="15">
        <v>150000</v>
      </c>
      <c r="W79" s="15">
        <v>0</v>
      </c>
      <c r="X79" s="15">
        <v>0</v>
      </c>
      <c r="Y79" s="15">
        <v>0</v>
      </c>
      <c r="Z79" s="15">
        <v>0</v>
      </c>
      <c r="AA79" s="15">
        <v>125000</v>
      </c>
      <c r="AB79" s="15">
        <v>0</v>
      </c>
      <c r="AC79" s="15">
        <v>100000</v>
      </c>
      <c r="AD79" s="15">
        <f>15500+283000</f>
        <v>298500</v>
      </c>
      <c r="AE79" s="16">
        <f t="shared" si="12"/>
        <v>27664104</v>
      </c>
      <c r="AF79" s="17">
        <v>6096</v>
      </c>
      <c r="AG79" s="15">
        <v>12889430</v>
      </c>
      <c r="AH79" s="14">
        <v>7004</v>
      </c>
      <c r="AI79" s="15">
        <v>12808710</v>
      </c>
      <c r="AJ79" s="15">
        <v>649500</v>
      </c>
      <c r="AK79" s="15">
        <v>75000</v>
      </c>
      <c r="AL79" s="15">
        <v>326250</v>
      </c>
      <c r="AM79" s="15">
        <f>151290+218610</f>
        <v>369900</v>
      </c>
      <c r="AN79" s="15"/>
      <c r="AO79" s="18">
        <f t="shared" si="13"/>
        <v>27118790</v>
      </c>
      <c r="AP79" s="19">
        <f t="shared" si="14"/>
        <v>-545314</v>
      </c>
      <c r="AQ79" s="20">
        <f>AP79*50%</f>
        <v>-272657</v>
      </c>
      <c r="AR79" s="21">
        <f t="shared" si="15"/>
        <v>0.5</v>
      </c>
      <c r="AS79" s="14">
        <f>AF79+AH79</f>
        <v>13100</v>
      </c>
      <c r="AT79" s="22">
        <v>1880</v>
      </c>
      <c r="AU79" s="14">
        <v>0</v>
      </c>
      <c r="AV79" s="23">
        <f>SUM(AS79:AU79)-F79</f>
        <v>-20</v>
      </c>
      <c r="AW79" s="24">
        <f>AT79/F79</f>
        <v>0.12533333333333332</v>
      </c>
      <c r="AX79" s="15">
        <f>G79/F79</f>
        <v>221.6</v>
      </c>
      <c r="AY79" s="15">
        <f>E79/D79</f>
        <v>307792.35087719298</v>
      </c>
      <c r="AZ79" s="15">
        <f>SUM(AI79+AG79)/SUM(AH79+AF79)</f>
        <v>1961.6900763358778</v>
      </c>
      <c r="BA79" s="13">
        <f>B79</f>
        <v>45908</v>
      </c>
      <c r="BB79" s="14">
        <f t="shared" si="16"/>
        <v>60</v>
      </c>
    </row>
    <row r="80" spans="1:54" x14ac:dyDescent="0.35">
      <c r="A80" s="12" t="s">
        <v>78</v>
      </c>
      <c r="B80" s="13">
        <v>45911</v>
      </c>
      <c r="C80" s="13">
        <v>45971</v>
      </c>
      <c r="D80" s="14">
        <v>40</v>
      </c>
      <c r="E80" s="15">
        <v>12369735</v>
      </c>
      <c r="F80" s="14">
        <v>10000</v>
      </c>
      <c r="G80" s="15">
        <v>1824000</v>
      </c>
      <c r="H80" s="14">
        <v>20</v>
      </c>
      <c r="I80" s="15">
        <v>100000</v>
      </c>
      <c r="J80" s="14"/>
      <c r="K80" s="15">
        <v>288666</v>
      </c>
      <c r="L80" s="14">
        <v>105</v>
      </c>
      <c r="M80" s="15">
        <v>682500</v>
      </c>
      <c r="N80" s="15">
        <v>2531740</v>
      </c>
      <c r="O80" s="15">
        <v>140000</v>
      </c>
      <c r="P80" s="15">
        <v>70250</v>
      </c>
      <c r="Q80" s="15">
        <v>200000</v>
      </c>
      <c r="R80" s="15">
        <v>340000</v>
      </c>
      <c r="S80" s="15">
        <v>183000</v>
      </c>
      <c r="T80" s="15">
        <v>290000</v>
      </c>
      <c r="U80" s="15">
        <v>0</v>
      </c>
      <c r="V80" s="15">
        <v>100000</v>
      </c>
      <c r="W80" s="15">
        <v>50000</v>
      </c>
      <c r="X80" s="15">
        <v>142525</v>
      </c>
      <c r="Y80" s="15">
        <v>88960</v>
      </c>
      <c r="Z80" s="15">
        <v>35000</v>
      </c>
      <c r="AA80" s="15">
        <v>80000</v>
      </c>
      <c r="AB80" s="15">
        <v>0</v>
      </c>
      <c r="AC80" s="15">
        <v>70000</v>
      </c>
      <c r="AD80" s="15">
        <f>35000+62100</f>
        <v>97100</v>
      </c>
      <c r="AE80" s="16">
        <f t="shared" si="12"/>
        <v>19683476</v>
      </c>
      <c r="AF80" s="17">
        <v>6179</v>
      </c>
      <c r="AG80" s="15">
        <v>11840800</v>
      </c>
      <c r="AH80" s="14">
        <v>2717</v>
      </c>
      <c r="AI80" s="15">
        <v>4965820</v>
      </c>
      <c r="AJ80" s="15">
        <v>449000</v>
      </c>
      <c r="AK80" s="15">
        <v>22500</v>
      </c>
      <c r="AL80" s="15">
        <v>254000</v>
      </c>
      <c r="AM80" s="15">
        <v>43380</v>
      </c>
      <c r="AN80" s="15">
        <v>52000</v>
      </c>
      <c r="AO80" s="18">
        <f t="shared" si="13"/>
        <v>17627500</v>
      </c>
      <c r="AP80" s="19">
        <f t="shared" si="14"/>
        <v>-2055976</v>
      </c>
      <c r="AQ80" s="20">
        <v>-1439183.2</v>
      </c>
      <c r="AR80" s="21">
        <f t="shared" si="15"/>
        <v>0.7</v>
      </c>
      <c r="AS80" s="14">
        <v>8896</v>
      </c>
      <c r="AT80" s="22">
        <v>1021</v>
      </c>
      <c r="AU80" s="14">
        <v>100</v>
      </c>
      <c r="AV80" s="23">
        <v>17</v>
      </c>
      <c r="AW80" s="24">
        <v>0.1021</v>
      </c>
      <c r="AX80" s="15">
        <v>182.4</v>
      </c>
      <c r="AY80" s="15">
        <v>309243.375</v>
      </c>
      <c r="AZ80" s="15">
        <v>1889.2333633093526</v>
      </c>
      <c r="BA80" s="13">
        <v>45911</v>
      </c>
      <c r="BB80" s="14">
        <f t="shared" si="16"/>
        <v>60</v>
      </c>
    </row>
    <row r="81" spans="1:54" x14ac:dyDescent="0.35">
      <c r="A81" s="12" t="s">
        <v>89</v>
      </c>
      <c r="B81" s="13">
        <v>45918</v>
      </c>
      <c r="C81" s="13">
        <v>45978</v>
      </c>
      <c r="D81" s="14">
        <v>47</v>
      </c>
      <c r="E81" s="15">
        <v>14755835</v>
      </c>
      <c r="F81" s="14">
        <v>12000</v>
      </c>
      <c r="G81" s="15">
        <v>1483200</v>
      </c>
      <c r="H81" s="14">
        <v>23</v>
      </c>
      <c r="I81" s="15">
        <v>115000</v>
      </c>
      <c r="J81" s="14"/>
      <c r="K81" s="15">
        <v>129100</v>
      </c>
      <c r="L81" s="14">
        <v>135</v>
      </c>
      <c r="M81" s="15">
        <v>895000</v>
      </c>
      <c r="N81" s="15">
        <v>2621360</v>
      </c>
      <c r="O81" s="15">
        <v>188000</v>
      </c>
      <c r="P81" s="15">
        <v>25700</v>
      </c>
      <c r="Q81" s="15">
        <v>232950</v>
      </c>
      <c r="R81" s="15">
        <v>340000</v>
      </c>
      <c r="S81" s="15">
        <v>153000</v>
      </c>
      <c r="T81" s="15">
        <v>250000</v>
      </c>
      <c r="U81" s="15">
        <v>0</v>
      </c>
      <c r="V81" s="15">
        <v>0</v>
      </c>
      <c r="W81" s="15">
        <v>100000</v>
      </c>
      <c r="X81" s="15">
        <v>217700</v>
      </c>
      <c r="Y81" s="15">
        <v>41000</v>
      </c>
      <c r="Z81" s="15">
        <v>42000</v>
      </c>
      <c r="AA81" s="15">
        <v>50000</v>
      </c>
      <c r="AB81" s="15">
        <v>59500</v>
      </c>
      <c r="AC81" s="15">
        <v>40000</v>
      </c>
      <c r="AD81" s="15">
        <v>35000</v>
      </c>
      <c r="AE81" s="16">
        <f t="shared" si="12"/>
        <v>21774345</v>
      </c>
      <c r="AF81" s="17">
        <v>9314</v>
      </c>
      <c r="AG81" s="15">
        <v>17974000</v>
      </c>
      <c r="AH81" s="14">
        <v>1385</v>
      </c>
      <c r="AI81" s="15">
        <v>2499700</v>
      </c>
      <c r="AJ81" s="15">
        <v>540000</v>
      </c>
      <c r="AK81" s="15">
        <v>128000</v>
      </c>
      <c r="AL81" s="15">
        <v>165000</v>
      </c>
      <c r="AM81" s="15">
        <v>240840</v>
      </c>
      <c r="AN81" s="15">
        <v>0</v>
      </c>
      <c r="AO81" s="18">
        <f t="shared" si="13"/>
        <v>21547540</v>
      </c>
      <c r="AP81" s="19">
        <f t="shared" si="14"/>
        <v>-226805</v>
      </c>
      <c r="AQ81" s="20">
        <v>-226805</v>
      </c>
      <c r="AR81" s="21">
        <f t="shared" si="15"/>
        <v>1</v>
      </c>
      <c r="AS81" s="14">
        <v>10699</v>
      </c>
      <c r="AT81" s="22">
        <v>1277</v>
      </c>
      <c r="AU81" s="14">
        <v>68</v>
      </c>
      <c r="AV81" s="23">
        <v>44</v>
      </c>
      <c r="AW81" s="24">
        <v>0.10641666666666667</v>
      </c>
      <c r="AX81" s="15">
        <v>123.6</v>
      </c>
      <c r="AY81" s="15">
        <v>313953.93617021275</v>
      </c>
      <c r="AZ81" s="15">
        <v>1913.6087484811665</v>
      </c>
      <c r="BA81" s="13">
        <v>45918</v>
      </c>
      <c r="BB81" s="14">
        <f t="shared" si="16"/>
        <v>60</v>
      </c>
    </row>
    <row r="82" spans="1:54" x14ac:dyDescent="0.35">
      <c r="A82" s="12" t="s">
        <v>90</v>
      </c>
      <c r="B82" s="13">
        <v>45922</v>
      </c>
      <c r="C82" s="13">
        <v>45981</v>
      </c>
      <c r="D82" s="14">
        <v>49.5</v>
      </c>
      <c r="E82" s="15">
        <v>15595925</v>
      </c>
      <c r="F82" s="14">
        <v>12300</v>
      </c>
      <c r="G82" s="15">
        <v>1520160</v>
      </c>
      <c r="H82" s="14">
        <v>30</v>
      </c>
      <c r="I82" s="15">
        <v>150000</v>
      </c>
      <c r="J82" s="14"/>
      <c r="K82" s="15">
        <v>128950</v>
      </c>
      <c r="L82" s="14">
        <v>130</v>
      </c>
      <c r="M82" s="15">
        <v>862500</v>
      </c>
      <c r="N82" s="15">
        <v>2491580</v>
      </c>
      <c r="O82" s="15">
        <v>198000</v>
      </c>
      <c r="P82" s="15">
        <v>32500</v>
      </c>
      <c r="Q82" s="15">
        <v>232850</v>
      </c>
      <c r="R82" s="15">
        <v>340000</v>
      </c>
      <c r="S82" s="15">
        <v>154000</v>
      </c>
      <c r="T82" s="15">
        <v>250000</v>
      </c>
      <c r="U82" s="15">
        <v>0</v>
      </c>
      <c r="V82" s="15">
        <v>0</v>
      </c>
      <c r="W82" s="15">
        <v>100000</v>
      </c>
      <c r="X82" s="15">
        <v>276450</v>
      </c>
      <c r="Y82" s="15">
        <v>0</v>
      </c>
      <c r="Z82" s="15">
        <v>42875</v>
      </c>
      <c r="AA82" s="15">
        <v>50000</v>
      </c>
      <c r="AB82" s="15">
        <v>61250</v>
      </c>
      <c r="AC82" s="15">
        <v>40000</v>
      </c>
      <c r="AD82" s="15">
        <v>61500</v>
      </c>
      <c r="AE82" s="16">
        <f t="shared" si="12"/>
        <v>22588540</v>
      </c>
      <c r="AF82" s="17">
        <v>11276</v>
      </c>
      <c r="AG82" s="15">
        <v>21269050</v>
      </c>
      <c r="AH82" s="14">
        <v>310</v>
      </c>
      <c r="AI82" s="15">
        <v>579900</v>
      </c>
      <c r="AJ82" s="15">
        <v>577500</v>
      </c>
      <c r="AK82" s="15">
        <v>56000</v>
      </c>
      <c r="AL82" s="15">
        <v>0</v>
      </c>
      <c r="AM82" s="15">
        <v>81090</v>
      </c>
      <c r="AN82" s="15">
        <v>6000</v>
      </c>
      <c r="AO82" s="18">
        <f t="shared" si="13"/>
        <v>22569540</v>
      </c>
      <c r="AP82" s="19">
        <f t="shared" si="14"/>
        <v>-19000</v>
      </c>
      <c r="AQ82" s="20">
        <v>-19000</v>
      </c>
      <c r="AR82" s="21">
        <f t="shared" si="15"/>
        <v>1</v>
      </c>
      <c r="AS82" s="14">
        <v>11586</v>
      </c>
      <c r="AT82" s="22">
        <v>665</v>
      </c>
      <c r="AU82" s="14">
        <v>55</v>
      </c>
      <c r="AV82" s="23">
        <v>6</v>
      </c>
      <c r="AW82" s="24">
        <v>5.4065040650406501E-2</v>
      </c>
      <c r="AX82" s="15">
        <v>123.59024390243903</v>
      </c>
      <c r="AY82" s="15">
        <v>315069.19191919192</v>
      </c>
      <c r="AZ82" s="15">
        <v>1885.8061453478335</v>
      </c>
      <c r="BA82" s="13">
        <v>45922</v>
      </c>
      <c r="BB82" s="14">
        <f t="shared" si="16"/>
        <v>59</v>
      </c>
    </row>
    <row r="83" spans="1:54" x14ac:dyDescent="0.35">
      <c r="A83" s="12" t="s">
        <v>73</v>
      </c>
      <c r="B83" s="13">
        <v>45922</v>
      </c>
      <c r="C83" s="13">
        <v>45982</v>
      </c>
      <c r="D83" s="14">
        <v>52</v>
      </c>
      <c r="E83" s="15">
        <v>16287900</v>
      </c>
      <c r="F83" s="14">
        <v>12400</v>
      </c>
      <c r="G83" s="15">
        <v>1532640</v>
      </c>
      <c r="H83" s="14">
        <v>25</v>
      </c>
      <c r="I83" s="15">
        <v>125000</v>
      </c>
      <c r="J83" s="14"/>
      <c r="K83" s="15">
        <v>416000</v>
      </c>
      <c r="L83" s="14">
        <v>144</v>
      </c>
      <c r="M83" s="15">
        <v>947000</v>
      </c>
      <c r="N83" s="15">
        <v>2835200</v>
      </c>
      <c r="O83" s="15">
        <v>182000</v>
      </c>
      <c r="P83" s="15">
        <v>63000</v>
      </c>
      <c r="Q83" s="15">
        <v>200000</v>
      </c>
      <c r="R83" s="15">
        <v>340000</v>
      </c>
      <c r="S83" s="15">
        <v>183000</v>
      </c>
      <c r="T83" s="15">
        <v>250000</v>
      </c>
      <c r="U83" s="15">
        <v>0</v>
      </c>
      <c r="V83" s="15">
        <v>100000</v>
      </c>
      <c r="W83" s="15">
        <v>50000</v>
      </c>
      <c r="X83" s="15">
        <v>281975</v>
      </c>
      <c r="Y83" s="15">
        <v>113690</v>
      </c>
      <c r="Z83" s="15">
        <v>43225</v>
      </c>
      <c r="AA83" s="15">
        <v>80000</v>
      </c>
      <c r="AB83" s="15">
        <v>8750</v>
      </c>
      <c r="AC83" s="15">
        <v>70000</v>
      </c>
      <c r="AD83" s="15">
        <v>24000</v>
      </c>
      <c r="AE83" s="16">
        <f t="shared" si="12"/>
        <v>24133380</v>
      </c>
      <c r="AF83" s="17">
        <v>11368</v>
      </c>
      <c r="AG83" s="15">
        <v>22052453</v>
      </c>
      <c r="AH83" s="14">
        <v>0</v>
      </c>
      <c r="AI83" s="15">
        <v>0</v>
      </c>
      <c r="AJ83" s="15">
        <v>628700</v>
      </c>
      <c r="AK83" s="15">
        <v>120500</v>
      </c>
      <c r="AL83" s="15">
        <v>0</v>
      </c>
      <c r="AM83" s="15">
        <v>155790</v>
      </c>
      <c r="AN83" s="15">
        <v>0</v>
      </c>
      <c r="AO83" s="18">
        <f t="shared" si="13"/>
        <v>22957443</v>
      </c>
      <c r="AP83" s="19">
        <f t="shared" si="14"/>
        <v>-1175937</v>
      </c>
      <c r="AQ83" s="20">
        <v>-881952.75</v>
      </c>
      <c r="AR83" s="21">
        <f t="shared" si="15"/>
        <v>0.75</v>
      </c>
      <c r="AS83" s="14">
        <v>11368</v>
      </c>
      <c r="AT83" s="22">
        <v>884</v>
      </c>
      <c r="AU83" s="14">
        <v>107</v>
      </c>
      <c r="AV83" s="23">
        <v>-41</v>
      </c>
      <c r="AW83" s="24">
        <v>7.129032258064516E-2</v>
      </c>
      <c r="AX83" s="15">
        <v>123.6</v>
      </c>
      <c r="AY83" s="15">
        <v>313228.84615384613</v>
      </c>
      <c r="AZ83" s="15">
        <v>1939.8709535538353</v>
      </c>
      <c r="BA83" s="13">
        <v>45922</v>
      </c>
      <c r="BB83" s="14">
        <f t="shared" si="16"/>
        <v>60</v>
      </c>
    </row>
    <row r="84" spans="1:54" x14ac:dyDescent="0.35">
      <c r="A84" s="12" t="s">
        <v>62</v>
      </c>
      <c r="B84" s="13">
        <v>45925</v>
      </c>
      <c r="C84" s="13">
        <v>45986</v>
      </c>
      <c r="D84" s="14">
        <v>52.9</v>
      </c>
      <c r="E84" s="15">
        <v>16553793</v>
      </c>
      <c r="F84" s="14">
        <v>12000</v>
      </c>
      <c r="G84" s="15">
        <v>1248000</v>
      </c>
      <c r="H84" s="14">
        <v>29</v>
      </c>
      <c r="I84" s="15">
        <v>145000</v>
      </c>
      <c r="J84" s="14"/>
      <c r="K84" s="15">
        <v>339200</v>
      </c>
      <c r="L84" s="14">
        <v>240</v>
      </c>
      <c r="M84" s="15">
        <v>1607000</v>
      </c>
      <c r="N84" s="15">
        <v>2151500</v>
      </c>
      <c r="O84" s="15">
        <v>212000</v>
      </c>
      <c r="P84" s="15">
        <v>58200</v>
      </c>
      <c r="Q84" s="15">
        <v>200000</v>
      </c>
      <c r="R84" s="15">
        <v>340000</v>
      </c>
      <c r="S84" s="15">
        <v>186000</v>
      </c>
      <c r="T84" s="15">
        <v>250000</v>
      </c>
      <c r="U84" s="15">
        <v>0</v>
      </c>
      <c r="V84" s="15">
        <v>0</v>
      </c>
      <c r="W84" s="15">
        <v>100000</v>
      </c>
      <c r="X84" s="15">
        <v>206225</v>
      </c>
      <c r="Y84" s="15">
        <v>111270</v>
      </c>
      <c r="Z84" s="15">
        <v>42000</v>
      </c>
      <c r="AA84" s="15">
        <v>80000</v>
      </c>
      <c r="AB84" s="15">
        <v>36225</v>
      </c>
      <c r="AC84" s="15">
        <v>70000</v>
      </c>
      <c r="AD84" s="15">
        <v>96200</v>
      </c>
      <c r="AE84" s="16">
        <f t="shared" si="12"/>
        <v>24032613</v>
      </c>
      <c r="AF84" s="17">
        <v>9331</v>
      </c>
      <c r="AG84" s="15">
        <v>17071400</v>
      </c>
      <c r="AH84" s="14">
        <v>1943</v>
      </c>
      <c r="AI84" s="15">
        <v>4608640</v>
      </c>
      <c r="AJ84" s="15">
        <v>630000</v>
      </c>
      <c r="AK84" s="15">
        <v>135000</v>
      </c>
      <c r="AL84" s="15">
        <v>32000</v>
      </c>
      <c r="AM84" s="15">
        <v>66150</v>
      </c>
      <c r="AN84" s="15">
        <v>24000</v>
      </c>
      <c r="AO84" s="18">
        <f t="shared" si="13"/>
        <v>22567190</v>
      </c>
      <c r="AP84" s="19">
        <f t="shared" si="14"/>
        <v>-1465423</v>
      </c>
      <c r="AQ84" s="20">
        <v>-1099067.25</v>
      </c>
      <c r="AR84" s="21">
        <f t="shared" si="15"/>
        <v>0.75</v>
      </c>
      <c r="AS84" s="14">
        <v>11274</v>
      </c>
      <c r="AT84" s="25">
        <v>594</v>
      </c>
      <c r="AU84" s="26">
        <v>109</v>
      </c>
      <c r="AV84" s="23">
        <v>-23</v>
      </c>
      <c r="AW84" s="24">
        <v>4.9500000000000002E-2</v>
      </c>
      <c r="AX84" s="15">
        <v>104</v>
      </c>
      <c r="AY84" s="15">
        <v>312926.1436672968</v>
      </c>
      <c r="AZ84" s="15">
        <v>1923.012240553486</v>
      </c>
      <c r="BA84" s="13">
        <v>45925</v>
      </c>
      <c r="BB84" s="14">
        <f t="shared" si="16"/>
        <v>61</v>
      </c>
    </row>
    <row r="85" spans="1:54" x14ac:dyDescent="0.35">
      <c r="A85" s="12" t="s">
        <v>79</v>
      </c>
      <c r="B85" s="13">
        <v>45929</v>
      </c>
      <c r="C85" s="13">
        <v>45992</v>
      </c>
      <c r="D85" s="14">
        <v>48.5</v>
      </c>
      <c r="E85" s="15">
        <v>14988700</v>
      </c>
      <c r="F85" s="14">
        <v>11748</v>
      </c>
      <c r="G85" s="15">
        <v>1221788</v>
      </c>
      <c r="H85" s="14">
        <v>20</v>
      </c>
      <c r="I85" s="15">
        <v>100000</v>
      </c>
      <c r="J85" s="14"/>
      <c r="K85" s="15">
        <v>384000</v>
      </c>
      <c r="L85" s="14">
        <v>125</v>
      </c>
      <c r="M85" s="15">
        <v>812500</v>
      </c>
      <c r="N85" s="15">
        <v>2305832</v>
      </c>
      <c r="O85" s="15">
        <v>242500</v>
      </c>
      <c r="P85" s="15">
        <v>59500</v>
      </c>
      <c r="Q85" s="15">
        <v>200000</v>
      </c>
      <c r="R85" s="15">
        <v>340000</v>
      </c>
      <c r="S85" s="15">
        <v>160000</v>
      </c>
      <c r="T85" s="15">
        <v>250000</v>
      </c>
      <c r="U85" s="15">
        <v>0</v>
      </c>
      <c r="V85" s="15">
        <v>100000</v>
      </c>
      <c r="W85" s="15">
        <v>50000</v>
      </c>
      <c r="X85" s="15">
        <v>183725</v>
      </c>
      <c r="Y85" s="15">
        <v>101080</v>
      </c>
      <c r="Z85" s="15">
        <v>7200</v>
      </c>
      <c r="AA85" s="15">
        <v>80000</v>
      </c>
      <c r="AB85" s="15">
        <v>40700</v>
      </c>
      <c r="AC85" s="15">
        <v>70000</v>
      </c>
      <c r="AD85" s="15">
        <v>90450</v>
      </c>
      <c r="AE85" s="16">
        <f t="shared" si="12"/>
        <v>21787975</v>
      </c>
      <c r="AF85" s="17">
        <v>7754</v>
      </c>
      <c r="AG85" s="15">
        <v>13866900</v>
      </c>
      <c r="AH85" s="14">
        <v>2332</v>
      </c>
      <c r="AI85" s="15">
        <v>4423020</v>
      </c>
      <c r="AJ85" s="15">
        <v>580000</v>
      </c>
      <c r="AK85" s="15">
        <v>16000</v>
      </c>
      <c r="AL85" s="15">
        <v>30000</v>
      </c>
      <c r="AM85" s="15">
        <v>150660</v>
      </c>
      <c r="AN85" s="15">
        <v>6500</v>
      </c>
      <c r="AO85" s="18">
        <f t="shared" si="13"/>
        <v>19073080</v>
      </c>
      <c r="AP85" s="19">
        <f t="shared" si="14"/>
        <v>-2714895</v>
      </c>
      <c r="AQ85" s="20">
        <f>AP85*75%</f>
        <v>-2036171.25</v>
      </c>
      <c r="AR85" s="21">
        <f t="shared" si="15"/>
        <v>0.75</v>
      </c>
      <c r="AS85" s="14">
        <v>10086</v>
      </c>
      <c r="AT85" s="25">
        <v>1547</v>
      </c>
      <c r="AU85" s="26">
        <v>103</v>
      </c>
      <c r="AV85" s="23">
        <f>SUM(AS85:AU85)-F85</f>
        <v>-12</v>
      </c>
      <c r="AW85" s="24">
        <f>AT85/F85</f>
        <v>0.13168198842356146</v>
      </c>
      <c r="AX85" s="15">
        <f>G85/F85</f>
        <v>103.99965951651345</v>
      </c>
      <c r="AY85" s="15">
        <f>E85/D85</f>
        <v>309045.3608247423</v>
      </c>
      <c r="AZ85" s="15">
        <f>SUM(AI85+AG85)/SUM(AH85+AF85)</f>
        <v>1813.3967876264128</v>
      </c>
      <c r="BA85" s="13">
        <f>B85</f>
        <v>45929</v>
      </c>
      <c r="BB85" s="14">
        <f t="shared" si="16"/>
        <v>63</v>
      </c>
    </row>
    <row r="86" spans="1:54" x14ac:dyDescent="0.35">
      <c r="A86" s="12" t="s">
        <v>66</v>
      </c>
      <c r="B86" s="13">
        <v>45932</v>
      </c>
      <c r="C86" s="13">
        <v>45993</v>
      </c>
      <c r="D86" s="14">
        <v>44</v>
      </c>
      <c r="E86" s="15">
        <v>13680588</v>
      </c>
      <c r="F86" s="14">
        <v>11730</v>
      </c>
      <c r="G86" s="15">
        <v>1449780</v>
      </c>
      <c r="H86" s="14">
        <v>25</v>
      </c>
      <c r="I86" s="15">
        <v>125000</v>
      </c>
      <c r="J86" s="14"/>
      <c r="K86" s="15">
        <v>352000</v>
      </c>
      <c r="L86" s="14">
        <v>105</v>
      </c>
      <c r="M86" s="15">
        <v>682500</v>
      </c>
      <c r="N86" s="15">
        <v>2039045</v>
      </c>
      <c r="O86" s="15">
        <v>154000</v>
      </c>
      <c r="P86" s="15">
        <v>75300</v>
      </c>
      <c r="Q86" s="15">
        <v>230000</v>
      </c>
      <c r="R86" s="15">
        <v>340000</v>
      </c>
      <c r="S86" s="15">
        <v>186000</v>
      </c>
      <c r="T86" s="15">
        <v>290000</v>
      </c>
      <c r="U86" s="15">
        <v>0</v>
      </c>
      <c r="V86" s="15">
        <v>100000</v>
      </c>
      <c r="W86" s="15">
        <v>0</v>
      </c>
      <c r="X86" s="15">
        <v>144050</v>
      </c>
      <c r="Y86" s="15">
        <v>92920</v>
      </c>
      <c r="Z86" s="15">
        <v>98295</v>
      </c>
      <c r="AA86" s="15">
        <v>80000</v>
      </c>
      <c r="AB86" s="15">
        <v>8750</v>
      </c>
      <c r="AC86" s="15">
        <v>70000</v>
      </c>
      <c r="AD86" s="15">
        <v>0</v>
      </c>
      <c r="AE86" s="16">
        <f t="shared" si="12"/>
        <v>20198228</v>
      </c>
      <c r="AF86" s="17">
        <v>7791</v>
      </c>
      <c r="AG86" s="15">
        <v>14418800</v>
      </c>
      <c r="AH86" s="14">
        <v>1501</v>
      </c>
      <c r="AI86" s="15">
        <v>3391650</v>
      </c>
      <c r="AJ86" s="15">
        <v>510000</v>
      </c>
      <c r="AK86" s="15">
        <v>31000</v>
      </c>
      <c r="AL86" s="15">
        <v>0</v>
      </c>
      <c r="AM86" s="15">
        <v>481725</v>
      </c>
      <c r="AN86" s="15">
        <v>0</v>
      </c>
      <c r="AO86" s="18">
        <f t="shared" si="13"/>
        <v>18833175</v>
      </c>
      <c r="AP86" s="19">
        <f t="shared" si="14"/>
        <v>-1365053</v>
      </c>
      <c r="AQ86" s="20">
        <v>-682526.5</v>
      </c>
      <c r="AR86" s="21">
        <f t="shared" si="15"/>
        <v>0.5</v>
      </c>
      <c r="AS86" s="14">
        <v>9292</v>
      </c>
      <c r="AT86" s="22">
        <v>2309</v>
      </c>
      <c r="AU86" s="14">
        <v>100</v>
      </c>
      <c r="AV86" s="23">
        <v>-29</v>
      </c>
      <c r="AW86" s="24">
        <v>0.19684569479965899</v>
      </c>
      <c r="AX86" s="15">
        <v>123.59590792838874</v>
      </c>
      <c r="AY86" s="15">
        <v>310922.45454545453</v>
      </c>
      <c r="AZ86" s="15">
        <v>1916.7509685751183</v>
      </c>
      <c r="BA86" s="13">
        <v>45932</v>
      </c>
      <c r="BB86" s="14">
        <f t="shared" si="16"/>
        <v>61</v>
      </c>
    </row>
    <row r="87" spans="1:54" x14ac:dyDescent="0.35">
      <c r="A87" s="12" t="s">
        <v>60</v>
      </c>
      <c r="B87" s="13">
        <v>45936</v>
      </c>
      <c r="C87" s="13">
        <v>46000</v>
      </c>
      <c r="D87" s="14">
        <v>47.9</v>
      </c>
      <c r="E87" s="15">
        <v>14844550</v>
      </c>
      <c r="F87" s="14">
        <v>12000</v>
      </c>
      <c r="G87" s="15">
        <v>2188800</v>
      </c>
      <c r="H87" s="14">
        <v>20</v>
      </c>
      <c r="I87" s="15">
        <v>100000</v>
      </c>
      <c r="J87" s="14"/>
      <c r="K87" s="15">
        <v>424000</v>
      </c>
      <c r="L87" s="14">
        <v>149</v>
      </c>
      <c r="M87" s="15">
        <v>988000</v>
      </c>
      <c r="N87" s="15">
        <v>2050610</v>
      </c>
      <c r="O87" s="15">
        <v>232500</v>
      </c>
      <c r="P87" s="15">
        <v>83300</v>
      </c>
      <c r="Q87" s="15">
        <v>200000</v>
      </c>
      <c r="R87" s="15">
        <v>340000</v>
      </c>
      <c r="S87" s="15">
        <v>195000</v>
      </c>
      <c r="T87" s="15">
        <v>450000</v>
      </c>
      <c r="U87" s="15">
        <v>0</v>
      </c>
      <c r="V87" s="15">
        <v>100000</v>
      </c>
      <c r="W87" s="15">
        <v>50000</v>
      </c>
      <c r="X87" s="15">
        <v>121200</v>
      </c>
      <c r="Y87" s="15">
        <v>98550</v>
      </c>
      <c r="Z87" s="15">
        <v>42000</v>
      </c>
      <c r="AA87" s="15">
        <v>80000</v>
      </c>
      <c r="AB87" s="15">
        <v>61250</v>
      </c>
      <c r="AC87" s="15">
        <v>70000</v>
      </c>
      <c r="AD87" s="15">
        <v>83000</v>
      </c>
      <c r="AE87" s="16">
        <f t="shared" si="12"/>
        <v>22802760</v>
      </c>
      <c r="AF87" s="17">
        <v>5105</v>
      </c>
      <c r="AG87" s="15">
        <v>7829450</v>
      </c>
      <c r="AH87" s="14">
        <v>4750</v>
      </c>
      <c r="AI87" s="15">
        <v>11957870</v>
      </c>
      <c r="AJ87" s="15">
        <v>575000</v>
      </c>
      <c r="AK87" s="15">
        <v>45500</v>
      </c>
      <c r="AL87" s="15">
        <v>0</v>
      </c>
      <c r="AM87" s="15">
        <v>47290</v>
      </c>
      <c r="AN87" s="15">
        <v>48000</v>
      </c>
      <c r="AO87" s="18">
        <f t="shared" si="13"/>
        <v>20503110</v>
      </c>
      <c r="AP87" s="19">
        <f t="shared" si="14"/>
        <v>-2299650</v>
      </c>
      <c r="AQ87" s="20">
        <f>AP87*75%</f>
        <v>-1724737.5</v>
      </c>
      <c r="AR87" s="21">
        <f t="shared" si="15"/>
        <v>0.75</v>
      </c>
      <c r="AS87" s="14">
        <v>9855</v>
      </c>
      <c r="AT87" s="22">
        <v>2019</v>
      </c>
      <c r="AU87" s="14">
        <v>124</v>
      </c>
      <c r="AV87" s="23">
        <v>-2</v>
      </c>
      <c r="AW87" s="24">
        <f>AT87/F87</f>
        <v>0.16825000000000001</v>
      </c>
      <c r="AX87" s="15">
        <f>G87/F87</f>
        <v>182.4</v>
      </c>
      <c r="AY87" s="15">
        <f>E87/D87</f>
        <v>309907.09812108561</v>
      </c>
      <c r="AZ87" s="15">
        <f>SUM(AI87+AG87)/SUM(AH87+AF87)</f>
        <v>2007.8457635717909</v>
      </c>
      <c r="BA87" s="13">
        <f>B87</f>
        <v>45936</v>
      </c>
      <c r="BB87" s="14">
        <f t="shared" si="16"/>
        <v>64</v>
      </c>
    </row>
    <row r="88" spans="1:54" x14ac:dyDescent="0.35">
      <c r="A88" s="12" t="s">
        <v>80</v>
      </c>
      <c r="B88" s="13">
        <v>45943</v>
      </c>
      <c r="C88" s="13">
        <v>46007</v>
      </c>
      <c r="D88" s="14">
        <v>58.1</v>
      </c>
      <c r="E88" s="15">
        <v>17555050</v>
      </c>
      <c r="F88" s="14">
        <v>12467</v>
      </c>
      <c r="G88" s="15">
        <v>2762960</v>
      </c>
      <c r="H88" s="14">
        <v>49</v>
      </c>
      <c r="I88" s="15">
        <v>245000</v>
      </c>
      <c r="J88" s="14"/>
      <c r="K88" s="15">
        <v>100200</v>
      </c>
      <c r="L88" s="14">
        <v>280</v>
      </c>
      <c r="M88" s="15">
        <v>1942500</v>
      </c>
      <c r="N88" s="15">
        <v>2076080</v>
      </c>
      <c r="O88" s="15">
        <v>232000</v>
      </c>
      <c r="P88" s="15">
        <v>108400</v>
      </c>
      <c r="Q88" s="15">
        <v>230000</v>
      </c>
      <c r="R88" s="15">
        <v>340000</v>
      </c>
      <c r="S88" s="15">
        <v>195000</v>
      </c>
      <c r="T88" s="15">
        <v>250000</v>
      </c>
      <c r="U88" s="15">
        <v>0</v>
      </c>
      <c r="V88" s="15">
        <v>100000</v>
      </c>
      <c r="W88" s="15">
        <v>50000</v>
      </c>
      <c r="X88" s="15">
        <v>118850</v>
      </c>
      <c r="Y88" s="15">
        <v>113510</v>
      </c>
      <c r="Z88" s="15">
        <v>43750</v>
      </c>
      <c r="AA88" s="15">
        <v>100000</v>
      </c>
      <c r="AB88" s="15">
        <v>0</v>
      </c>
      <c r="AC88" s="15">
        <v>40000</v>
      </c>
      <c r="AD88" s="15">
        <v>10800</v>
      </c>
      <c r="AE88" s="16">
        <f t="shared" si="12"/>
        <v>26614100</v>
      </c>
      <c r="AF88" s="17">
        <v>5772</v>
      </c>
      <c r="AG88" s="15">
        <v>8510850</v>
      </c>
      <c r="AH88" s="14">
        <v>5579</v>
      </c>
      <c r="AI88" s="15">
        <v>15277380</v>
      </c>
      <c r="AJ88" s="15">
        <v>768200</v>
      </c>
      <c r="AK88" s="15">
        <v>45000</v>
      </c>
      <c r="AL88" s="15">
        <v>0</v>
      </c>
      <c r="AM88" s="15">
        <v>10530</v>
      </c>
      <c r="AN88" s="15">
        <v>86500</v>
      </c>
      <c r="AO88" s="18">
        <f t="shared" si="13"/>
        <v>24698460</v>
      </c>
      <c r="AP88" s="19">
        <f t="shared" si="14"/>
        <v>-1915640</v>
      </c>
      <c r="AQ88" s="20">
        <v>-957820</v>
      </c>
      <c r="AR88" s="21">
        <f t="shared" si="15"/>
        <v>0.5</v>
      </c>
      <c r="AS88" s="14">
        <v>11351</v>
      </c>
      <c r="AT88" s="22">
        <v>999</v>
      </c>
      <c r="AU88" s="14">
        <v>109</v>
      </c>
      <c r="AV88" s="23">
        <v>-8</v>
      </c>
      <c r="AW88" s="24">
        <v>8.0131547284831961E-2</v>
      </c>
      <c r="AX88" s="15">
        <v>221.62188176786717</v>
      </c>
      <c r="AY88" s="15">
        <v>302152.32358003443</v>
      </c>
      <c r="AZ88" s="15">
        <v>2095.6946524535283</v>
      </c>
      <c r="BA88" s="13">
        <v>45943</v>
      </c>
      <c r="BB88" s="14">
        <f t="shared" si="16"/>
        <v>64</v>
      </c>
    </row>
    <row r="89" spans="1:54" x14ac:dyDescent="0.35">
      <c r="A89" s="12" t="s">
        <v>91</v>
      </c>
      <c r="B89" s="13">
        <v>45946</v>
      </c>
      <c r="C89" s="13">
        <v>46004</v>
      </c>
      <c r="D89" s="14">
        <v>63.7</v>
      </c>
      <c r="E89" s="15">
        <v>19834515</v>
      </c>
      <c r="F89" s="14">
        <v>16090</v>
      </c>
      <c r="G89" s="15">
        <v>2934780</v>
      </c>
      <c r="H89" s="14">
        <v>30</v>
      </c>
      <c r="I89" s="15">
        <v>150000</v>
      </c>
      <c r="J89" s="14"/>
      <c r="K89" s="15">
        <v>173950</v>
      </c>
      <c r="L89" s="14">
        <v>300</v>
      </c>
      <c r="M89" s="15">
        <v>2062500</v>
      </c>
      <c r="N89" s="15">
        <v>3267240</v>
      </c>
      <c r="O89" s="15">
        <v>252000</v>
      </c>
      <c r="P89" s="15">
        <v>23300</v>
      </c>
      <c r="Q89" s="15">
        <v>323050</v>
      </c>
      <c r="R89" s="15">
        <v>460000</v>
      </c>
      <c r="S89" s="15">
        <v>264000</v>
      </c>
      <c r="T89" s="15">
        <v>300000</v>
      </c>
      <c r="U89" s="15">
        <v>0</v>
      </c>
      <c r="V89" s="15">
        <v>0</v>
      </c>
      <c r="W89" s="15">
        <v>100000</v>
      </c>
      <c r="X89" s="15">
        <v>146000</v>
      </c>
      <c r="Y89" s="15">
        <v>57000</v>
      </c>
      <c r="Z89" s="15">
        <v>56000</v>
      </c>
      <c r="AA89" s="15">
        <v>50000</v>
      </c>
      <c r="AB89" s="15">
        <v>71750</v>
      </c>
      <c r="AC89" s="15">
        <v>40000</v>
      </c>
      <c r="AD89" s="15">
        <v>27500</v>
      </c>
      <c r="AE89" s="16">
        <f t="shared" si="12"/>
        <v>30593585</v>
      </c>
      <c r="AF89" s="17">
        <v>6393</v>
      </c>
      <c r="AG89" s="15">
        <v>8988500</v>
      </c>
      <c r="AH89" s="14">
        <v>7994</v>
      </c>
      <c r="AI89" s="15">
        <v>16796860</v>
      </c>
      <c r="AJ89" s="15">
        <v>768500</v>
      </c>
      <c r="AK89" s="15">
        <v>0</v>
      </c>
      <c r="AL89" s="15">
        <v>0</v>
      </c>
      <c r="AM89" s="15">
        <v>118170</v>
      </c>
      <c r="AN89" s="15">
        <v>28500</v>
      </c>
      <c r="AO89" s="18">
        <f t="shared" si="13"/>
        <v>26700530</v>
      </c>
      <c r="AP89" s="19">
        <f t="shared" si="14"/>
        <v>-3893055</v>
      </c>
      <c r="AQ89" s="20">
        <v>-3893055</v>
      </c>
      <c r="AR89" s="21">
        <f t="shared" si="15"/>
        <v>1</v>
      </c>
      <c r="AS89" s="14">
        <v>14387</v>
      </c>
      <c r="AT89" s="22">
        <v>1646</v>
      </c>
      <c r="AU89" s="14">
        <v>85</v>
      </c>
      <c r="AV89" s="23">
        <v>28</v>
      </c>
      <c r="AW89" s="24">
        <v>0.10229956494717216</v>
      </c>
      <c r="AX89" s="15">
        <v>182.3977625854568</v>
      </c>
      <c r="AY89" s="15">
        <v>311373.86185243324</v>
      </c>
      <c r="AZ89" s="15">
        <v>1792.2680197400432</v>
      </c>
      <c r="BA89" s="13">
        <v>45946</v>
      </c>
      <c r="BB89" s="14">
        <f t="shared" si="16"/>
        <v>58</v>
      </c>
    </row>
    <row r="90" spans="1:54" x14ac:dyDescent="0.35">
      <c r="A90" s="12" t="s">
        <v>81</v>
      </c>
      <c r="B90" s="13">
        <v>45946</v>
      </c>
      <c r="C90" s="13">
        <v>46012</v>
      </c>
      <c r="D90" s="14">
        <v>66.5</v>
      </c>
      <c r="E90" s="15">
        <v>20510190</v>
      </c>
      <c r="F90" s="14">
        <v>16032</v>
      </c>
      <c r="G90" s="15">
        <v>3270664</v>
      </c>
      <c r="H90" s="14">
        <v>68</v>
      </c>
      <c r="I90" s="15">
        <v>340000</v>
      </c>
      <c r="J90" s="14"/>
      <c r="K90" s="15">
        <v>369600</v>
      </c>
      <c r="L90" s="14">
        <v>317</v>
      </c>
      <c r="M90" s="15">
        <v>2209000</v>
      </c>
      <c r="N90" s="15">
        <v>3105330</v>
      </c>
      <c r="O90" s="15">
        <v>264000</v>
      </c>
      <c r="P90" s="15">
        <v>62250</v>
      </c>
      <c r="Q90" s="15">
        <v>200000</v>
      </c>
      <c r="R90" s="15">
        <v>400000</v>
      </c>
      <c r="S90" s="15">
        <v>201000</v>
      </c>
      <c r="T90" s="15">
        <v>562500</v>
      </c>
      <c r="U90" s="15">
        <v>0</v>
      </c>
      <c r="V90" s="15">
        <v>0</v>
      </c>
      <c r="W90" s="15">
        <v>100000</v>
      </c>
      <c r="X90" s="15">
        <v>128225</v>
      </c>
      <c r="Y90" s="15">
        <v>56000</v>
      </c>
      <c r="Z90" s="15">
        <v>95000</v>
      </c>
      <c r="AA90" s="15">
        <v>100000</v>
      </c>
      <c r="AB90" s="15">
        <v>32000</v>
      </c>
      <c r="AC90" s="15">
        <v>77000</v>
      </c>
      <c r="AD90" s="15">
        <v>50000</v>
      </c>
      <c r="AE90" s="16">
        <f t="shared" si="12"/>
        <v>32132759</v>
      </c>
      <c r="AF90" s="17">
        <v>5907</v>
      </c>
      <c r="AG90" s="15">
        <v>11660450</v>
      </c>
      <c r="AH90" s="14">
        <v>8813</v>
      </c>
      <c r="AI90" s="15">
        <v>14763600</v>
      </c>
      <c r="AJ90" s="15">
        <v>848450</v>
      </c>
      <c r="AK90" s="15">
        <v>0</v>
      </c>
      <c r="AL90" s="15">
        <v>238000</v>
      </c>
      <c r="AM90" s="15">
        <v>59580</v>
      </c>
      <c r="AN90" s="15">
        <v>38500</v>
      </c>
      <c r="AO90" s="18">
        <f t="shared" si="13"/>
        <v>27608580</v>
      </c>
      <c r="AP90" s="19">
        <f t="shared" si="14"/>
        <v>-4524179</v>
      </c>
      <c r="AQ90" s="20">
        <v>-4524179</v>
      </c>
      <c r="AR90" s="21">
        <f t="shared" si="15"/>
        <v>1</v>
      </c>
      <c r="AS90" s="14">
        <v>14720</v>
      </c>
      <c r="AT90" s="22">
        <v>1207</v>
      </c>
      <c r="AU90" s="14">
        <v>104</v>
      </c>
      <c r="AV90" s="23">
        <v>-1</v>
      </c>
      <c r="AW90" s="24">
        <v>7.5286926147704589E-2</v>
      </c>
      <c r="AX90" s="15">
        <v>204.00848303393212</v>
      </c>
      <c r="AY90" s="15">
        <v>308423.90977443609</v>
      </c>
      <c r="AZ90" s="15">
        <v>1795.1120923913043</v>
      </c>
      <c r="BA90" s="13">
        <v>45946</v>
      </c>
      <c r="BB90" s="14">
        <f t="shared" si="16"/>
        <v>66</v>
      </c>
    </row>
    <row r="91" spans="1:54" x14ac:dyDescent="0.35">
      <c r="A91" s="12" t="s">
        <v>92</v>
      </c>
      <c r="B91" s="13">
        <v>45974</v>
      </c>
      <c r="C91" s="13">
        <v>46028</v>
      </c>
      <c r="D91" s="14">
        <v>37.450000000000003</v>
      </c>
      <c r="E91" s="15">
        <v>11315342</v>
      </c>
      <c r="F91" s="14">
        <v>9000</v>
      </c>
      <c r="G91" s="15">
        <v>1581200</v>
      </c>
      <c r="H91" s="14">
        <v>32</v>
      </c>
      <c r="I91" s="15">
        <v>160000</v>
      </c>
      <c r="J91" s="14"/>
      <c r="K91" s="15">
        <v>98000</v>
      </c>
      <c r="L91" s="14">
        <v>205</v>
      </c>
      <c r="M91" s="15">
        <v>1435000</v>
      </c>
      <c r="N91" s="15">
        <v>1657808</v>
      </c>
      <c r="O91" s="15">
        <v>140000</v>
      </c>
      <c r="P91" s="15">
        <v>38000</v>
      </c>
      <c r="Q91" s="15">
        <v>256250</v>
      </c>
      <c r="R91" s="15">
        <v>340000</v>
      </c>
      <c r="S91" s="15">
        <v>165000</v>
      </c>
      <c r="T91" s="15">
        <v>250000</v>
      </c>
      <c r="U91" s="15">
        <v>0</v>
      </c>
      <c r="V91" s="15">
        <v>0</v>
      </c>
      <c r="W91" s="15">
        <v>100000</v>
      </c>
      <c r="X91" s="15">
        <v>119100</v>
      </c>
      <c r="Y91" s="15">
        <v>38000</v>
      </c>
      <c r="Z91" s="15">
        <v>31500</v>
      </c>
      <c r="AA91" s="15">
        <v>50000</v>
      </c>
      <c r="AB91" s="15">
        <v>24500</v>
      </c>
      <c r="AC91" s="15">
        <v>40000</v>
      </c>
      <c r="AD91" s="15">
        <v>41500</v>
      </c>
      <c r="AE91" s="16">
        <f t="shared" si="12"/>
        <v>17881200</v>
      </c>
      <c r="AF91" s="17">
        <v>4927</v>
      </c>
      <c r="AG91" s="15">
        <v>8548200</v>
      </c>
      <c r="AH91" s="14">
        <v>3437</v>
      </c>
      <c r="AI91" s="15">
        <v>7756880</v>
      </c>
      <c r="AJ91" s="15">
        <v>459300</v>
      </c>
      <c r="AK91" s="15">
        <v>38500</v>
      </c>
      <c r="AL91" s="15">
        <v>96000</v>
      </c>
      <c r="AM91" s="15">
        <v>25110</v>
      </c>
      <c r="AN91" s="15">
        <v>84500</v>
      </c>
      <c r="AO91" s="18">
        <f t="shared" si="13"/>
        <v>17008490</v>
      </c>
      <c r="AP91" s="19">
        <f t="shared" si="14"/>
        <v>-872710</v>
      </c>
      <c r="AQ91" s="20">
        <v>-872710</v>
      </c>
      <c r="AR91" s="21">
        <f t="shared" si="15"/>
        <v>1</v>
      </c>
      <c r="AS91" s="14">
        <v>8364</v>
      </c>
      <c r="AT91" s="22">
        <v>596</v>
      </c>
      <c r="AU91" s="14">
        <v>59</v>
      </c>
      <c r="AV91" s="23">
        <v>19</v>
      </c>
      <c r="AW91" s="24">
        <v>6.6222222222222224E-2</v>
      </c>
      <c r="AX91" s="15">
        <v>175.6888888888889</v>
      </c>
      <c r="AY91" s="15">
        <v>302145.31375166884</v>
      </c>
      <c r="AZ91" s="15">
        <v>1949.4356767097083</v>
      </c>
      <c r="BA91" s="13">
        <v>45974</v>
      </c>
      <c r="BB91" s="14">
        <f t="shared" si="16"/>
        <v>54</v>
      </c>
    </row>
    <row r="92" spans="1:54" x14ac:dyDescent="0.35">
      <c r="A92" s="12" t="s">
        <v>82</v>
      </c>
      <c r="B92" s="13">
        <v>45974</v>
      </c>
      <c r="C92" s="13">
        <v>46028</v>
      </c>
      <c r="D92" s="14">
        <v>39.049999999999997</v>
      </c>
      <c r="E92" s="15">
        <v>11818260</v>
      </c>
      <c r="F92" s="14">
        <v>11000</v>
      </c>
      <c r="G92" s="15">
        <v>2028400</v>
      </c>
      <c r="H92" s="14">
        <v>32</v>
      </c>
      <c r="I92" s="15">
        <v>160000</v>
      </c>
      <c r="J92" s="14"/>
      <c r="K92" s="15">
        <v>312000</v>
      </c>
      <c r="L92" s="14">
        <v>234</v>
      </c>
      <c r="M92" s="15">
        <v>1561500</v>
      </c>
      <c r="N92" s="15">
        <v>2401660</v>
      </c>
      <c r="O92" s="15">
        <v>190000</v>
      </c>
      <c r="P92" s="15">
        <v>40000</v>
      </c>
      <c r="Q92" s="15">
        <v>200000</v>
      </c>
      <c r="R92" s="15">
        <v>340000</v>
      </c>
      <c r="S92" s="15">
        <v>165000</v>
      </c>
      <c r="T92" s="15">
        <v>250000</v>
      </c>
      <c r="U92" s="15">
        <v>0</v>
      </c>
      <c r="V92" s="15">
        <v>100000</v>
      </c>
      <c r="W92" s="15">
        <v>50000</v>
      </c>
      <c r="X92" s="15">
        <v>191725</v>
      </c>
      <c r="Y92" s="15">
        <v>100430</v>
      </c>
      <c r="Z92" s="15">
        <v>38500</v>
      </c>
      <c r="AA92" s="15">
        <v>80000</v>
      </c>
      <c r="AB92" s="15">
        <v>31500</v>
      </c>
      <c r="AC92" s="15">
        <v>70000</v>
      </c>
      <c r="AD92" s="15">
        <v>9500</v>
      </c>
      <c r="AE92" s="16">
        <f t="shared" si="12"/>
        <v>20138475</v>
      </c>
      <c r="AF92" s="17">
        <v>8365</v>
      </c>
      <c r="AG92" s="15">
        <v>15260650</v>
      </c>
      <c r="AH92" s="14">
        <v>1678</v>
      </c>
      <c r="AI92" s="15">
        <v>3974330</v>
      </c>
      <c r="AJ92" s="15">
        <v>499200</v>
      </c>
      <c r="AK92" s="15">
        <v>0</v>
      </c>
      <c r="AL92" s="15">
        <v>42000</v>
      </c>
      <c r="AM92" s="15">
        <v>215640</v>
      </c>
      <c r="AN92" s="15">
        <v>22500</v>
      </c>
      <c r="AO92" s="18">
        <f t="shared" si="13"/>
        <v>20014320</v>
      </c>
      <c r="AP92" s="19">
        <f t="shared" si="14"/>
        <v>-124155</v>
      </c>
      <c r="AQ92" s="20">
        <v>-93116.25</v>
      </c>
      <c r="AR92" s="21">
        <f t="shared" si="15"/>
        <v>0.75</v>
      </c>
      <c r="AS92" s="14">
        <v>10043</v>
      </c>
      <c r="AT92" s="22">
        <v>787</v>
      </c>
      <c r="AU92" s="14">
        <v>112</v>
      </c>
      <c r="AV92" s="23">
        <v>-58</v>
      </c>
      <c r="AW92" s="24">
        <v>7.1545454545454551E-2</v>
      </c>
      <c r="AX92" s="15">
        <v>184.4</v>
      </c>
      <c r="AY92" s="15">
        <v>302644.30217669654</v>
      </c>
      <c r="AZ92" s="15">
        <v>1915.2623718012546</v>
      </c>
      <c r="BA92" s="13">
        <v>45974</v>
      </c>
      <c r="BB92" s="14">
        <f t="shared" si="16"/>
        <v>54</v>
      </c>
    </row>
    <row r="93" spans="1:54" x14ac:dyDescent="0.35">
      <c r="A93" s="12" t="s">
        <v>85</v>
      </c>
      <c r="B93" s="13" t="s">
        <v>93</v>
      </c>
      <c r="C93" s="13">
        <v>45749</v>
      </c>
      <c r="D93" s="14">
        <v>39.25</v>
      </c>
      <c r="E93" s="15">
        <v>11111300</v>
      </c>
      <c r="F93" s="14">
        <v>9000</v>
      </c>
      <c r="G93" s="15">
        <v>3970800</v>
      </c>
      <c r="H93" s="14">
        <v>25</v>
      </c>
      <c r="I93" s="15">
        <v>125000</v>
      </c>
      <c r="J93" s="14"/>
      <c r="K93" s="15">
        <v>93668</v>
      </c>
      <c r="L93" s="14">
        <v>135</v>
      </c>
      <c r="M93" s="15">
        <v>877500</v>
      </c>
      <c r="N93" s="15">
        <v>2498360</v>
      </c>
      <c r="O93" s="15">
        <v>154000</v>
      </c>
      <c r="P93" s="15">
        <v>0</v>
      </c>
      <c r="Q93" s="15">
        <v>197300</v>
      </c>
      <c r="R93" s="15">
        <v>340000</v>
      </c>
      <c r="S93" s="15">
        <v>168500</v>
      </c>
      <c r="T93" s="15">
        <v>250000</v>
      </c>
      <c r="U93" s="15">
        <v>0</v>
      </c>
      <c r="V93" s="15">
        <v>70000</v>
      </c>
      <c r="W93" s="15">
        <v>50000</v>
      </c>
      <c r="X93" s="15">
        <v>150500</v>
      </c>
      <c r="Y93" s="15">
        <v>85400</v>
      </c>
      <c r="Z93" s="15">
        <v>31500</v>
      </c>
      <c r="AA93" s="15">
        <v>50000</v>
      </c>
      <c r="AB93" s="15">
        <v>21000</v>
      </c>
      <c r="AC93" s="15">
        <v>30000</v>
      </c>
      <c r="AD93" s="15">
        <v>39500</v>
      </c>
      <c r="AE93" s="16">
        <f t="shared" si="12"/>
        <v>20314328</v>
      </c>
      <c r="AF93" s="17">
        <v>6567</v>
      </c>
      <c r="AG93" s="15">
        <v>12875100</v>
      </c>
      <c r="AH93" s="14">
        <v>1973</v>
      </c>
      <c r="AI93" s="15">
        <v>4800500</v>
      </c>
      <c r="AJ93" s="15">
        <v>339650</v>
      </c>
      <c r="AK93" s="15">
        <v>196500</v>
      </c>
      <c r="AL93" s="15">
        <v>207637</v>
      </c>
      <c r="AM93" s="15">
        <v>0</v>
      </c>
      <c r="AN93" s="15">
        <v>161500</v>
      </c>
      <c r="AO93" s="18">
        <f t="shared" si="13"/>
        <v>18580887</v>
      </c>
      <c r="AP93" s="19">
        <f t="shared" si="14"/>
        <v>-1733441</v>
      </c>
      <c r="AQ93" s="20">
        <v>-1560096.9000000001</v>
      </c>
      <c r="AR93" s="21">
        <f t="shared" si="15"/>
        <v>0.90000000000000013</v>
      </c>
      <c r="AS93" s="14">
        <v>8540</v>
      </c>
      <c r="AT93" s="22">
        <v>311</v>
      </c>
      <c r="AU93" s="14">
        <v>137</v>
      </c>
      <c r="AV93" s="23">
        <v>-12</v>
      </c>
      <c r="AW93" s="24">
        <v>3.4555555555555555E-2</v>
      </c>
      <c r="AX93" s="15">
        <v>441.2</v>
      </c>
      <c r="AY93" s="15">
        <v>283090.44585987262</v>
      </c>
      <c r="AZ93" s="15">
        <v>2069.742388758782</v>
      </c>
      <c r="BA93" s="13" t="s">
        <v>94</v>
      </c>
      <c r="BB93" s="14" t="e">
        <f t="shared" si="16"/>
        <v>#VALUE!</v>
      </c>
    </row>
    <row r="94" spans="1:54" x14ac:dyDescent="0.35">
      <c r="A94" s="27" t="s">
        <v>95</v>
      </c>
      <c r="B94" s="13"/>
      <c r="C94" s="13"/>
      <c r="D94" s="14"/>
      <c r="E94" s="15"/>
      <c r="F94" s="14"/>
      <c r="G94" s="15"/>
      <c r="H94" s="14"/>
      <c r="I94" s="15"/>
      <c r="J94" s="14"/>
      <c r="K94" s="15"/>
      <c r="L94" s="14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6">
        <f>'[1]عمليات اخرى'!D41</f>
        <v>0</v>
      </c>
      <c r="AF94" s="17"/>
      <c r="AG94" s="15"/>
      <c r="AH94" s="14"/>
      <c r="AI94" s="15"/>
      <c r="AJ94" s="15"/>
      <c r="AK94" s="15"/>
      <c r="AL94" s="15"/>
      <c r="AM94" s="15"/>
      <c r="AN94" s="15"/>
      <c r="AO94" s="18" t="str">
        <f t="shared" si="13"/>
        <v/>
      </c>
      <c r="AP94" s="19" t="str">
        <f t="shared" si="14"/>
        <v/>
      </c>
      <c r="AQ94" s="20" t="str">
        <f>AP94</f>
        <v/>
      </c>
      <c r="AR94" s="21" t="e">
        <f t="shared" si="15"/>
        <v>#VALUE!</v>
      </c>
      <c r="AS94" s="14">
        <f t="shared" ref="AS94:AS95" si="17">AF94+AH94</f>
        <v>0</v>
      </c>
      <c r="AT94" s="22"/>
      <c r="AU94" s="14"/>
      <c r="AV94" s="23">
        <f t="shared" ref="AV94:AV95" si="18">SUM(AS94:AU94)-F94</f>
        <v>0</v>
      </c>
      <c r="AW94" s="24" t="e">
        <f t="shared" ref="AW94:AW95" si="19">AT94/F94</f>
        <v>#DIV/0!</v>
      </c>
      <c r="AX94" s="15" t="e">
        <f t="shared" ref="AX94:AX95" si="20">G94/F94</f>
        <v>#DIV/0!</v>
      </c>
      <c r="AY94" s="15" t="e">
        <f t="shared" ref="AY94:AY95" si="21">E94/D94</f>
        <v>#DIV/0!</v>
      </c>
      <c r="AZ94" s="15" t="e">
        <f t="shared" ref="AZ94:AZ95" si="22">SUM(AI94+AG94)/SUM(AH94+AF94)</f>
        <v>#DIV/0!</v>
      </c>
      <c r="BA94" s="13">
        <f t="shared" ref="BA94:BA95" si="23">B94</f>
        <v>0</v>
      </c>
      <c r="BB94" s="14">
        <f t="shared" si="16"/>
        <v>0</v>
      </c>
    </row>
    <row r="95" spans="1:54" x14ac:dyDescent="0.35">
      <c r="A95" s="27" t="s">
        <v>96</v>
      </c>
      <c r="B95" s="13"/>
      <c r="C95" s="13"/>
      <c r="D95" s="14"/>
      <c r="E95" s="15"/>
      <c r="F95" s="14"/>
      <c r="G95" s="15"/>
      <c r="H95" s="14"/>
      <c r="I95" s="15"/>
      <c r="J95" s="14"/>
      <c r="K95" s="15"/>
      <c r="L95" s="14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6" t="str">
        <f>IF(SUM(E95,G95,I95,K95,M95,N95:AD95)=0,"",SUM(E95,G95,I95,K95,M95,N95:AD95))</f>
        <v/>
      </c>
      <c r="AF95" s="17"/>
      <c r="AG95" s="15"/>
      <c r="AH95" s="14"/>
      <c r="AI95" s="15"/>
      <c r="AJ95" s="15"/>
      <c r="AK95" s="15"/>
      <c r="AL95" s="15"/>
      <c r="AM95" s="15"/>
      <c r="AN95" s="15"/>
      <c r="AO95" s="18">
        <f>'[1]عمليات اخرى'!J17</f>
        <v>0</v>
      </c>
      <c r="AP95" s="19" t="str">
        <f t="shared" si="14"/>
        <v/>
      </c>
      <c r="AQ95" s="20" t="str">
        <f>AP95</f>
        <v/>
      </c>
      <c r="AR95" s="21" t="e">
        <f t="shared" si="15"/>
        <v>#VALUE!</v>
      </c>
      <c r="AS95" s="14">
        <f t="shared" si="17"/>
        <v>0</v>
      </c>
      <c r="AT95" s="22"/>
      <c r="AU95" s="14"/>
      <c r="AV95" s="23">
        <f t="shared" si="18"/>
        <v>0</v>
      </c>
      <c r="AW95" s="24" t="e">
        <f t="shared" si="19"/>
        <v>#DIV/0!</v>
      </c>
      <c r="AX95" s="15" t="e">
        <f t="shared" si="20"/>
        <v>#DIV/0!</v>
      </c>
      <c r="AY95" s="15" t="e">
        <f t="shared" si="21"/>
        <v>#DIV/0!</v>
      </c>
      <c r="AZ95" s="15" t="e">
        <f t="shared" si="22"/>
        <v>#DIV/0!</v>
      </c>
      <c r="BA95" s="13">
        <f t="shared" si="23"/>
        <v>0</v>
      </c>
      <c r="BB95" s="14">
        <f t="shared" si="16"/>
        <v>0</v>
      </c>
    </row>
    <row r="96" spans="1:54" ht="22.75" thickBot="1" x14ac:dyDescent="0.4">
      <c r="A96" s="28" t="s">
        <v>97</v>
      </c>
      <c r="B96" s="29"/>
      <c r="C96" s="29"/>
      <c r="D96" s="30">
        <f t="shared" ref="D96:AQ96" si="24">IF(SUBTOTAL(9,D4:D95)=0,"",SUBTOTAL(9,D4:D95))</f>
        <v>4125.5999999999995</v>
      </c>
      <c r="E96" s="31">
        <f t="shared" si="24"/>
        <v>1213591833</v>
      </c>
      <c r="F96" s="32">
        <f t="shared" si="24"/>
        <v>1115118</v>
      </c>
      <c r="G96" s="31">
        <f t="shared" si="24"/>
        <v>274390224</v>
      </c>
      <c r="H96" s="30">
        <f t="shared" si="24"/>
        <v>2884</v>
      </c>
      <c r="I96" s="31">
        <f t="shared" si="24"/>
        <v>13778000</v>
      </c>
      <c r="J96" s="30" t="str">
        <f t="shared" si="24"/>
        <v/>
      </c>
      <c r="K96" s="31">
        <f t="shared" si="24"/>
        <v>26554966</v>
      </c>
      <c r="L96" s="30">
        <f t="shared" si="24"/>
        <v>12746</v>
      </c>
      <c r="M96" s="33">
        <f t="shared" si="24"/>
        <v>82896500</v>
      </c>
      <c r="N96" s="31">
        <f t="shared" si="24"/>
        <v>222939087</v>
      </c>
      <c r="O96" s="31">
        <f t="shared" si="24"/>
        <v>16473875</v>
      </c>
      <c r="P96" s="31">
        <f t="shared" si="24"/>
        <v>5700021.1500000004</v>
      </c>
      <c r="Q96" s="31">
        <f t="shared" si="24"/>
        <v>20225132.609999999</v>
      </c>
      <c r="R96" s="31">
        <f t="shared" si="24"/>
        <v>32120000</v>
      </c>
      <c r="S96" s="31">
        <f t="shared" si="24"/>
        <v>16302400</v>
      </c>
      <c r="T96" s="33">
        <f t="shared" si="24"/>
        <v>27822500</v>
      </c>
      <c r="U96" s="33">
        <f t="shared" si="24"/>
        <v>240000</v>
      </c>
      <c r="V96" s="31">
        <f t="shared" si="24"/>
        <v>7280000</v>
      </c>
      <c r="W96" s="31">
        <f t="shared" si="24"/>
        <v>4700000</v>
      </c>
      <c r="X96" s="31">
        <f t="shared" si="24"/>
        <v>15641725</v>
      </c>
      <c r="Y96" s="31">
        <f t="shared" si="24"/>
        <v>7803942</v>
      </c>
      <c r="Z96" s="31">
        <f t="shared" si="24"/>
        <v>4686840</v>
      </c>
      <c r="AA96" s="31">
        <f t="shared" si="24"/>
        <v>7265000</v>
      </c>
      <c r="AB96" s="31">
        <f t="shared" si="24"/>
        <v>1815975</v>
      </c>
      <c r="AC96" s="31">
        <f t="shared" si="24"/>
        <v>5856625</v>
      </c>
      <c r="AD96" s="31">
        <f t="shared" si="24"/>
        <v>5405651.7669999991</v>
      </c>
      <c r="AE96" s="34">
        <f t="shared" si="24"/>
        <v>2013490297.5270002</v>
      </c>
      <c r="AF96" s="35">
        <f t="shared" si="24"/>
        <v>699971</v>
      </c>
      <c r="AG96" s="36">
        <f t="shared" si="24"/>
        <v>1363983933</v>
      </c>
      <c r="AH96" s="37">
        <f t="shared" si="24"/>
        <v>254042</v>
      </c>
      <c r="AI96" s="38">
        <f t="shared" si="24"/>
        <v>442003218</v>
      </c>
      <c r="AJ96" s="38">
        <f t="shared" si="24"/>
        <v>48997750</v>
      </c>
      <c r="AK96" s="36">
        <f t="shared" si="24"/>
        <v>5198050</v>
      </c>
      <c r="AL96" s="36">
        <f t="shared" si="24"/>
        <v>22469632</v>
      </c>
      <c r="AM96" s="36">
        <f t="shared" si="24"/>
        <v>13522080.640000001</v>
      </c>
      <c r="AN96" s="36">
        <f t="shared" si="24"/>
        <v>6303975</v>
      </c>
      <c r="AO96" s="39">
        <f t="shared" si="24"/>
        <v>1902478638.6399999</v>
      </c>
      <c r="AP96" s="40">
        <f t="shared" si="24"/>
        <v>-111011658.88699998</v>
      </c>
      <c r="AQ96" s="40">
        <f t="shared" si="24"/>
        <v>-85603185.772000015</v>
      </c>
      <c r="AR96" s="40"/>
      <c r="AS96" s="30">
        <f>SUM(AS4:AS95)</f>
        <v>954013</v>
      </c>
      <c r="AT96" s="30">
        <f>SUM(AT4:AT95)</f>
        <v>150710</v>
      </c>
      <c r="AU96" s="30">
        <f>SUM(AU4:AU95)</f>
        <v>9868</v>
      </c>
      <c r="AV96" s="30">
        <f>SUM(AV4:AV95)</f>
        <v>-527</v>
      </c>
      <c r="AW96" s="15"/>
      <c r="AX96" s="41"/>
      <c r="AY96" s="15"/>
      <c r="AZ96" s="15"/>
      <c r="BA96" s="13"/>
      <c r="BB96" s="14"/>
    </row>
  </sheetData>
  <mergeCells count="39">
    <mergeCell ref="Q2:Q3"/>
    <mergeCell ref="R2:R3"/>
    <mergeCell ref="S2:S3"/>
    <mergeCell ref="T2:T3"/>
    <mergeCell ref="AS1:BB1"/>
    <mergeCell ref="B2:C2"/>
    <mergeCell ref="D2:E2"/>
    <mergeCell ref="F2:G2"/>
    <mergeCell ref="H2:I2"/>
    <mergeCell ref="J2:K2"/>
    <mergeCell ref="L2:M2"/>
    <mergeCell ref="N2:N3"/>
    <mergeCell ref="O2:O3"/>
    <mergeCell ref="P2:P3"/>
    <mergeCell ref="A1:D1"/>
    <mergeCell ref="E1:AE1"/>
    <mergeCell ref="AF1:AO1"/>
    <mergeCell ref="AP1:AP3"/>
    <mergeCell ref="AQ1:AQ3"/>
    <mergeCell ref="AR1:AR3"/>
    <mergeCell ref="AF2:AG2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O2:AO3"/>
    <mergeCell ref="AH2:AI2"/>
    <mergeCell ref="AJ2:AJ3"/>
    <mergeCell ref="AK2:AK3"/>
    <mergeCell ref="AL2:AL3"/>
    <mergeCell ref="AM2:AM3"/>
    <mergeCell ref="AN2:AN3"/>
  </mergeCells>
  <conditionalFormatting sqref="AP4:AP9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Q4:AQ9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Anas_1_boos wshesh</cp:lastModifiedBy>
  <dcterms:created xsi:type="dcterms:W3CDTF">2015-06-05T18:17:20Z</dcterms:created>
  <dcterms:modified xsi:type="dcterms:W3CDTF">2026-04-17T09:31:54Z</dcterms:modified>
</cp:coreProperties>
</file>